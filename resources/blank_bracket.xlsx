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1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gal\Documents\Data Science\KingfisherCourt\resources\"/>
    </mc:Choice>
  </mc:AlternateContent>
  <xr:revisionPtr revIDLastSave="0" documentId="13_ncr:1_{03C6B022-E499-43C2-B137-68C0F54B12F8}" xr6:coauthVersionLast="47" xr6:coauthVersionMax="47" xr10:uidLastSave="{00000000-0000-0000-0000-000000000000}"/>
  <bookViews>
    <workbookView xWindow="-108" yWindow="-108" windowWidth="30936" windowHeight="16776" activeTab="2" xr2:uid="{00000000-000D-0000-FFFF-FFFF00000000}"/>
  </bookViews>
  <sheets>
    <sheet name="Teams" sheetId="3" r:id="rId1"/>
    <sheet name="Games" sheetId="2" r:id="rId2"/>
    <sheet name="Bracket" sheetId="1" r:id="rId3"/>
  </sheets>
  <externalReferences>
    <externalReference r:id="rId4"/>
  </externalReferences>
  <definedNames>
    <definedName name="All_Teams">OFFSET(Games!#REF!,0,0,COUNTA(Games!#REF!)-1,1)</definedName>
    <definedName name="Method">Games!#REF!</definedName>
    <definedName name="_xlnm.Print_Area" localSheetId="2">Bracket!$B$1:$AN$67</definedName>
    <definedName name="_xlnm.Print_Area" localSheetId="1">Games!$A$1:$O$72</definedName>
    <definedName name="SeedInfo">Games!#REF!</definedName>
    <definedName name="SeedType">Games!#REF!</definedName>
    <definedName name="snowball">[1]Calculator!$F$21</definedName>
    <definedName name="strategy">[1]Calculator!$F$20</definedName>
    <definedName name="valuevx">42.314159</definedName>
    <definedName name="vertex42_copyright" hidden="1">"© 2012-2017 Vertex42 LLC"</definedName>
    <definedName name="vertex42_id" hidden="1">"march-madness-bracket.xlsx"</definedName>
    <definedName name="vertex42_title" hidden="1">"NCAA Basketball Tournament Bracket"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2" i="2" l="1"/>
  <c r="V27" i="1" s="1"/>
  <c r="L70" i="2"/>
  <c r="Y19" i="1" s="1"/>
  <c r="L69" i="2"/>
  <c r="Q19" i="1" s="1"/>
  <c r="L67" i="2"/>
  <c r="AB43" i="1" s="1"/>
  <c r="L66" i="2"/>
  <c r="AB11" i="1" s="1"/>
  <c r="L65" i="2"/>
  <c r="N43" i="1" s="1"/>
  <c r="L64" i="2"/>
  <c r="N11" i="1" s="1"/>
  <c r="L62" i="2"/>
  <c r="AE55" i="1" s="1"/>
  <c r="L61" i="2"/>
  <c r="AE39" i="1" s="1"/>
  <c r="L60" i="2"/>
  <c r="AE23" i="1" s="1"/>
  <c r="L59" i="2"/>
  <c r="AE7" i="1" s="1"/>
  <c r="L58" i="2"/>
  <c r="K55" i="1" s="1"/>
  <c r="L57" i="2"/>
  <c r="K39" i="1" s="1"/>
  <c r="L56" i="2"/>
  <c r="K23" i="1" s="1"/>
  <c r="L55" i="2"/>
  <c r="K7" i="1" s="1"/>
  <c r="L53" i="2"/>
  <c r="AH61" i="1" s="1"/>
  <c r="L52" i="2"/>
  <c r="AH53" i="1" s="1"/>
  <c r="L51" i="2"/>
  <c r="AH45" i="1" s="1"/>
  <c r="L50" i="2"/>
  <c r="AH37" i="1" s="1"/>
  <c r="L49" i="2"/>
  <c r="AH29" i="1" s="1"/>
  <c r="L48" i="2"/>
  <c r="AH21" i="1" s="1"/>
  <c r="L47" i="2"/>
  <c r="AH13" i="1" s="1"/>
  <c r="L46" i="2"/>
  <c r="AH5" i="1" s="1"/>
  <c r="L45" i="2"/>
  <c r="H61" i="1" s="1"/>
  <c r="L44" i="2"/>
  <c r="H53" i="1" s="1"/>
  <c r="L43" i="2"/>
  <c r="H45" i="1" s="1"/>
  <c r="L42" i="2"/>
  <c r="H37" i="1" s="1"/>
  <c r="L41" i="2"/>
  <c r="H29" i="1" s="1"/>
  <c r="L40" i="2"/>
  <c r="H21" i="1" s="1"/>
  <c r="L39" i="2"/>
  <c r="H13" i="1" s="1"/>
  <c r="L38" i="2"/>
  <c r="H5" i="1" s="1"/>
  <c r="L36" i="2"/>
  <c r="AK65" i="1" s="1"/>
  <c r="L35" i="2"/>
  <c r="L34" i="2"/>
  <c r="AK57" i="1" s="1"/>
  <c r="L33" i="2"/>
  <c r="AK53" i="1" s="1"/>
  <c r="L32" i="2"/>
  <c r="AK49" i="1" s="1"/>
  <c r="L31" i="2"/>
  <c r="AK45" i="1" s="1"/>
  <c r="L30" i="2"/>
  <c r="AK41" i="1" s="1"/>
  <c r="L29" i="2"/>
  <c r="AK37" i="1" s="1"/>
  <c r="L28" i="2"/>
  <c r="L27" i="2"/>
  <c r="L26" i="2"/>
  <c r="AK25" i="1" s="1"/>
  <c r="L25" i="2"/>
  <c r="AK21" i="1" s="1"/>
  <c r="L24" i="2"/>
  <c r="AK17" i="1" s="1"/>
  <c r="L23" i="2"/>
  <c r="AK13" i="1" s="1"/>
  <c r="L22" i="2"/>
  <c r="AK9" i="1" s="1"/>
  <c r="L21" i="2"/>
  <c r="AK5" i="1" s="1"/>
  <c r="L20" i="2"/>
  <c r="L19" i="2"/>
  <c r="L18" i="2"/>
  <c r="L17" i="2"/>
  <c r="L16" i="2"/>
  <c r="L15" i="2"/>
  <c r="L14" i="2"/>
  <c r="L13" i="2"/>
  <c r="L12" i="2"/>
  <c r="L11" i="2"/>
  <c r="L10" i="2"/>
  <c r="E25" i="1" s="1"/>
  <c r="L9" i="2"/>
  <c r="L8" i="2"/>
  <c r="L7" i="2"/>
  <c r="L6" i="2"/>
  <c r="E9" i="1" s="1"/>
  <c r="L5" i="2"/>
  <c r="F54" i="2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42" i="3"/>
  <c r="E43" i="3"/>
  <c r="E44" i="3"/>
  <c r="E45" i="3"/>
  <c r="E46" i="3"/>
  <c r="E47" i="3"/>
  <c r="E48" i="3"/>
  <c r="E49" i="3"/>
  <c r="E50" i="3"/>
  <c r="E51" i="3"/>
  <c r="N72" i="2"/>
  <c r="T39" i="1" s="1"/>
  <c r="N70" i="2"/>
  <c r="Y51" i="1" s="1"/>
  <c r="N69" i="2"/>
  <c r="Q51" i="1" s="1"/>
  <c r="N67" i="2"/>
  <c r="AB59" i="1" s="1"/>
  <c r="N66" i="2"/>
  <c r="AB27" i="1" s="1"/>
  <c r="N65" i="2"/>
  <c r="N59" i="1" s="1"/>
  <c r="N64" i="2"/>
  <c r="N27" i="1" s="1"/>
  <c r="N62" i="2"/>
  <c r="AE63" i="1" s="1"/>
  <c r="N61" i="2"/>
  <c r="AE47" i="1" s="1"/>
  <c r="N60" i="2"/>
  <c r="AE31" i="1" s="1"/>
  <c r="N59" i="2"/>
  <c r="AE15" i="1" s="1"/>
  <c r="N58" i="2"/>
  <c r="K63" i="1" s="1"/>
  <c r="N57" i="2"/>
  <c r="K47" i="1" s="1"/>
  <c r="N56" i="2"/>
  <c r="K31" i="1" s="1"/>
  <c r="N55" i="2"/>
  <c r="K15" i="1" s="1"/>
  <c r="N53" i="2"/>
  <c r="AH65" i="1" s="1"/>
  <c r="N52" i="2"/>
  <c r="AH57" i="1" s="1"/>
  <c r="N51" i="2"/>
  <c r="AH49" i="1" s="1"/>
  <c r="N50" i="2"/>
  <c r="AH41" i="1" s="1"/>
  <c r="N49" i="2"/>
  <c r="AH33" i="1" s="1"/>
  <c r="N48" i="2"/>
  <c r="AH25" i="1" s="1"/>
  <c r="N47" i="2"/>
  <c r="AH17" i="1" s="1"/>
  <c r="N46" i="2"/>
  <c r="AH9" i="1" s="1"/>
  <c r="N45" i="2"/>
  <c r="H65" i="1" s="1"/>
  <c r="N44" i="2"/>
  <c r="H57" i="1" s="1"/>
  <c r="N43" i="2"/>
  <c r="H49" i="1" s="1"/>
  <c r="N42" i="2"/>
  <c r="H41" i="1" s="1"/>
  <c r="N41" i="2"/>
  <c r="H33" i="1" s="1"/>
  <c r="N40" i="2"/>
  <c r="H25" i="1" s="1"/>
  <c r="N39" i="2"/>
  <c r="H17" i="1" s="1"/>
  <c r="N38" i="2"/>
  <c r="H9" i="1" s="1"/>
  <c r="N36" i="2"/>
  <c r="AK67" i="1" s="1"/>
  <c r="N35" i="2"/>
  <c r="AK63" i="1" s="1"/>
  <c r="N34" i="2"/>
  <c r="AK59" i="1" s="1"/>
  <c r="N33" i="2"/>
  <c r="AK55" i="1" s="1"/>
  <c r="N32" i="2"/>
  <c r="AK51" i="1" s="1"/>
  <c r="N31" i="2"/>
  <c r="AK47" i="1" s="1"/>
  <c r="N30" i="2"/>
  <c r="AK43" i="1" s="1"/>
  <c r="N29" i="2"/>
  <c r="AK39" i="1" s="1"/>
  <c r="N28" i="2"/>
  <c r="AK35" i="1" s="1"/>
  <c r="N27" i="2"/>
  <c r="AK31" i="1" s="1"/>
  <c r="N26" i="2"/>
  <c r="AK27" i="1" s="1"/>
  <c r="N25" i="2"/>
  <c r="AK23" i="1" s="1"/>
  <c r="N24" i="2"/>
  <c r="AK19" i="1" s="1"/>
  <c r="N23" i="2"/>
  <c r="AK15" i="1" s="1"/>
  <c r="N22" i="2"/>
  <c r="AK11" i="1" s="1"/>
  <c r="N21" i="2"/>
  <c r="AK7" i="1" s="1"/>
  <c r="N20" i="2"/>
  <c r="E67" i="1" s="1"/>
  <c r="N19" i="2"/>
  <c r="E63" i="1" s="1"/>
  <c r="N18" i="2"/>
  <c r="E59" i="1" s="1"/>
  <c r="N17" i="2"/>
  <c r="E55" i="1" s="1"/>
  <c r="N16" i="2"/>
  <c r="E51" i="1" s="1"/>
  <c r="N15" i="2"/>
  <c r="E47" i="1" s="1"/>
  <c r="N14" i="2"/>
  <c r="E43" i="1" s="1"/>
  <c r="N13" i="2"/>
  <c r="E39" i="1" s="1"/>
  <c r="N12" i="2"/>
  <c r="E35" i="1" s="1"/>
  <c r="N11" i="2"/>
  <c r="E31" i="1" s="1"/>
  <c r="N10" i="2"/>
  <c r="E27" i="1" s="1"/>
  <c r="N9" i="2"/>
  <c r="E23" i="1" s="1"/>
  <c r="N8" i="2"/>
  <c r="E19" i="1" s="1"/>
  <c r="N7" i="2"/>
  <c r="E15" i="1" s="1"/>
  <c r="N6" i="2"/>
  <c r="N5" i="2"/>
  <c r="E7" i="1" s="1"/>
  <c r="I15" i="2"/>
  <c r="I5" i="2"/>
  <c r="G6" i="2"/>
  <c r="I6" i="2"/>
  <c r="G7" i="2"/>
  <c r="I7" i="2"/>
  <c r="G8" i="2"/>
  <c r="I8" i="2"/>
  <c r="G9" i="2"/>
  <c r="I9" i="2"/>
  <c r="G10" i="2"/>
  <c r="I10" i="2"/>
  <c r="G11" i="2"/>
  <c r="I11" i="2"/>
  <c r="G12" i="2"/>
  <c r="I12" i="2"/>
  <c r="G13" i="2"/>
  <c r="I13" i="2"/>
  <c r="G14" i="2"/>
  <c r="I14" i="2"/>
  <c r="G15" i="2"/>
  <c r="G16" i="2"/>
  <c r="I16" i="2"/>
  <c r="G17" i="2"/>
  <c r="I17" i="2"/>
  <c r="G18" i="2"/>
  <c r="I18" i="2"/>
  <c r="G19" i="2"/>
  <c r="G5" i="2"/>
  <c r="F37" i="2"/>
  <c r="F63" i="2"/>
  <c r="F68" i="2"/>
  <c r="F71" i="2"/>
  <c r="AJ2" i="1"/>
  <c r="AM2" i="1"/>
  <c r="K13" i="2" l="1"/>
  <c r="K12" i="2"/>
  <c r="M14" i="2"/>
  <c r="K19" i="2"/>
  <c r="K6" i="2"/>
  <c r="K7" i="2"/>
  <c r="M11" i="2"/>
  <c r="K15" i="2"/>
  <c r="M18" i="2"/>
  <c r="M5" i="2"/>
  <c r="K14" i="2"/>
  <c r="K8" i="2"/>
  <c r="K16" i="2"/>
  <c r="K17" i="2"/>
  <c r="K5" i="2"/>
  <c r="C47" i="1"/>
  <c r="D47" i="1" s="1"/>
  <c r="M15" i="2"/>
  <c r="C11" i="1"/>
  <c r="D11" i="1" s="1"/>
  <c r="M6" i="2"/>
  <c r="C15" i="1"/>
  <c r="D15" i="1" s="1"/>
  <c r="M7" i="2"/>
  <c r="C19" i="1"/>
  <c r="D19" i="1" s="1"/>
  <c r="M8" i="2"/>
  <c r="C21" i="1"/>
  <c r="D21" i="1" s="1"/>
  <c r="K9" i="2"/>
  <c r="C23" i="1"/>
  <c r="D23" i="1" s="1"/>
  <c r="M9" i="2"/>
  <c r="C25" i="1"/>
  <c r="D25" i="1" s="1"/>
  <c r="K10" i="2"/>
  <c r="C27" i="1"/>
  <c r="D27" i="1" s="1"/>
  <c r="M10" i="2"/>
  <c r="C29" i="1"/>
  <c r="D29" i="1" s="1"/>
  <c r="K11" i="2"/>
  <c r="C35" i="1"/>
  <c r="D35" i="1" s="1"/>
  <c r="M12" i="2"/>
  <c r="C39" i="1"/>
  <c r="D39" i="1" s="1"/>
  <c r="M13" i="2"/>
  <c r="C51" i="1"/>
  <c r="D51" i="1" s="1"/>
  <c r="M16" i="2"/>
  <c r="C55" i="1"/>
  <c r="D55" i="1" s="1"/>
  <c r="M17" i="2"/>
  <c r="C57" i="1"/>
  <c r="D57" i="1" s="1"/>
  <c r="K18" i="2"/>
  <c r="I19" i="2"/>
  <c r="G20" i="2"/>
  <c r="K20" i="2" s="1"/>
  <c r="I20" i="2"/>
  <c r="M20" i="2" s="1"/>
  <c r="G21" i="2"/>
  <c r="K21" i="2" s="1"/>
  <c r="I21" i="2"/>
  <c r="M21" i="2" s="1"/>
  <c r="G22" i="2"/>
  <c r="I22" i="2"/>
  <c r="M22" i="2" s="1"/>
  <c r="G23" i="2"/>
  <c r="K23" i="2" s="1"/>
  <c r="I23" i="2"/>
  <c r="M23" i="2" s="1"/>
  <c r="G24" i="2"/>
  <c r="K24" i="2" s="1"/>
  <c r="I24" i="2"/>
  <c r="G25" i="2"/>
  <c r="I25" i="2"/>
  <c r="G26" i="2"/>
  <c r="K26" i="2" s="1"/>
  <c r="I26" i="2"/>
  <c r="G27" i="2"/>
  <c r="K27" i="2" s="1"/>
  <c r="I27" i="2"/>
  <c r="M27" i="2" s="1"/>
  <c r="G28" i="2"/>
  <c r="K28" i="2" s="1"/>
  <c r="I28" i="2"/>
  <c r="M28" i="2" s="1"/>
  <c r="G29" i="2"/>
  <c r="K29" i="2" s="1"/>
  <c r="I29" i="2"/>
  <c r="M29" i="2" s="1"/>
  <c r="G30" i="2"/>
  <c r="K30" i="2" s="1"/>
  <c r="I30" i="2"/>
  <c r="M30" i="2" s="1"/>
  <c r="G31" i="2"/>
  <c r="K31" i="2" s="1"/>
  <c r="I31" i="2"/>
  <c r="G32" i="2"/>
  <c r="K32" i="2" s="1"/>
  <c r="I32" i="2"/>
  <c r="M32" i="2" s="1"/>
  <c r="G33" i="2"/>
  <c r="K33" i="2" s="1"/>
  <c r="I33" i="2"/>
  <c r="M33" i="2" s="1"/>
  <c r="G34" i="2"/>
  <c r="K34" i="2" s="1"/>
  <c r="I34" i="2"/>
  <c r="M34" i="2" s="1"/>
  <c r="G35" i="2"/>
  <c r="K35" i="2" s="1"/>
  <c r="I35" i="2"/>
  <c r="M35" i="2" s="1"/>
  <c r="G36" i="2"/>
  <c r="K36" i="2" s="1"/>
  <c r="I36" i="2"/>
  <c r="O35" i="2"/>
  <c r="P35" i="2" s="1"/>
  <c r="AK61" i="1"/>
  <c r="AK33" i="1"/>
  <c r="AK29" i="1"/>
  <c r="E65" i="1"/>
  <c r="E61" i="1"/>
  <c r="O18" i="2"/>
  <c r="P18" i="2" s="1"/>
  <c r="E57" i="1"/>
  <c r="O17" i="2"/>
  <c r="P17" i="2" s="1"/>
  <c r="E53" i="1"/>
  <c r="O16" i="2"/>
  <c r="P16" i="2" s="1"/>
  <c r="E49" i="1"/>
  <c r="O15" i="2"/>
  <c r="P15" i="2" s="1"/>
  <c r="E45" i="1"/>
  <c r="O14" i="2"/>
  <c r="P14" i="2" s="1"/>
  <c r="E41" i="1"/>
  <c r="E37" i="1"/>
  <c r="O13" i="2"/>
  <c r="P13" i="2" s="1"/>
  <c r="E33" i="1"/>
  <c r="O12" i="2"/>
  <c r="P12" i="2" s="1"/>
  <c r="E29" i="1"/>
  <c r="O11" i="2"/>
  <c r="P11" i="2" s="1"/>
  <c r="E21" i="1"/>
  <c r="O9" i="2"/>
  <c r="P9" i="2" s="1"/>
  <c r="E17" i="1"/>
  <c r="O8" i="2"/>
  <c r="P8" i="2" s="1"/>
  <c r="E13" i="1"/>
  <c r="O7" i="2"/>
  <c r="P7" i="2" s="1"/>
  <c r="E11" i="1"/>
  <c r="O6" i="2"/>
  <c r="P6" i="2" s="1"/>
  <c r="O10" i="2"/>
  <c r="P10" i="2" s="1"/>
  <c r="O5" i="2"/>
  <c r="P5" i="2" s="1"/>
  <c r="E5" i="1"/>
  <c r="C59" i="1"/>
  <c r="D59" i="1" s="1"/>
  <c r="C53" i="1"/>
  <c r="D53" i="1" s="1"/>
  <c r="C7" i="1"/>
  <c r="D7" i="1" s="1"/>
  <c r="C17" i="1"/>
  <c r="D17" i="1" s="1"/>
  <c r="C9" i="1"/>
  <c r="D9" i="1" s="1"/>
  <c r="C43" i="1"/>
  <c r="D43" i="1" s="1"/>
  <c r="C31" i="1"/>
  <c r="D31" i="1" s="1"/>
  <c r="C61" i="1"/>
  <c r="D61" i="1" s="1"/>
  <c r="C49" i="1"/>
  <c r="D49" i="1" s="1"/>
  <c r="C45" i="1"/>
  <c r="D45" i="1" s="1"/>
  <c r="C41" i="1"/>
  <c r="D41" i="1" s="1"/>
  <c r="C37" i="1"/>
  <c r="D37" i="1" s="1"/>
  <c r="C33" i="1"/>
  <c r="D33" i="1" s="1"/>
  <c r="C13" i="1"/>
  <c r="D13" i="1" s="1"/>
  <c r="C5" i="1"/>
  <c r="D5" i="1" s="1"/>
  <c r="J13" i="2" a="1"/>
  <c r="J13" i="2" s="1"/>
  <c r="J14" i="2" a="1"/>
  <c r="J14" i="2" s="1"/>
  <c r="J15" i="2" a="1"/>
  <c r="J15" i="2" s="1"/>
  <c r="J16" i="2" a="1"/>
  <c r="J16" i="2" s="1"/>
  <c r="J17" i="2" a="1"/>
  <c r="J17" i="2" s="1"/>
  <c r="J18" i="2" a="1"/>
  <c r="J18" i="2" s="1"/>
  <c r="F19" i="2" a="1"/>
  <c r="F19" i="2" s="1"/>
  <c r="J8" i="2" a="1"/>
  <c r="J8" i="2" s="1"/>
  <c r="F9" i="2" a="1"/>
  <c r="F9" i="2" s="1"/>
  <c r="J9" i="2" a="1"/>
  <c r="J9" i="2" s="1"/>
  <c r="F18" i="2" a="1"/>
  <c r="F18" i="2" s="1"/>
  <c r="F5" i="2" a="1"/>
  <c r="F5" i="2" s="1"/>
  <c r="J5" i="2" a="1"/>
  <c r="J5" i="2" s="1"/>
  <c r="F6" i="2" a="1"/>
  <c r="F6" i="2" s="1"/>
  <c r="F7" i="2" a="1"/>
  <c r="F7" i="2" s="1"/>
  <c r="F8" i="2" a="1"/>
  <c r="F8" i="2" s="1"/>
  <c r="F16" i="2" a="1"/>
  <c r="F16" i="2" s="1"/>
  <c r="J12" i="2" a="1"/>
  <c r="J12" i="2" s="1"/>
  <c r="F10" i="2" a="1"/>
  <c r="F10" i="2" s="1"/>
  <c r="F11" i="2" a="1"/>
  <c r="F11" i="2" s="1"/>
  <c r="F12" i="2" a="1"/>
  <c r="F12" i="2" s="1"/>
  <c r="F13" i="2" a="1"/>
  <c r="F13" i="2" s="1"/>
  <c r="F14" i="2" a="1"/>
  <c r="F14" i="2" s="1"/>
  <c r="F15" i="2" a="1"/>
  <c r="F15" i="2" s="1"/>
  <c r="F17" i="2" a="1"/>
  <c r="F17" i="2" s="1"/>
  <c r="J11" i="2" a="1"/>
  <c r="J11" i="2" s="1"/>
  <c r="J6" i="2" a="1"/>
  <c r="J6" i="2" s="1"/>
  <c r="J7" i="2" a="1"/>
  <c r="J7" i="2" s="1"/>
  <c r="J10" i="2" a="1"/>
  <c r="J10" i="2" s="1"/>
  <c r="AU5" i="1"/>
  <c r="M36" i="2" l="1"/>
  <c r="AM67" i="1"/>
  <c r="O34" i="2"/>
  <c r="P34" i="2" s="1"/>
  <c r="O19" i="2"/>
  <c r="P19" i="2" s="1"/>
  <c r="M19" i="2"/>
  <c r="O22" i="2"/>
  <c r="K22" i="2"/>
  <c r="AM19" i="1"/>
  <c r="AL19" i="1" s="1"/>
  <c r="O24" i="2"/>
  <c r="P24" i="2" s="1"/>
  <c r="J24" i="2" a="1"/>
  <c r="J24" i="2" s="1"/>
  <c r="M24" i="2"/>
  <c r="AM21" i="1"/>
  <c r="AL21" i="1" s="1"/>
  <c r="O25" i="2"/>
  <c r="P25" i="2" s="1"/>
  <c r="F25" i="2" a="1"/>
  <c r="F25" i="2" s="1"/>
  <c r="K25" i="2"/>
  <c r="AM23" i="1"/>
  <c r="AL23" i="1" s="1"/>
  <c r="J25" i="2" a="1"/>
  <c r="J25" i="2" s="1"/>
  <c r="M25" i="2"/>
  <c r="J26" i="2" a="1"/>
  <c r="J26" i="2" s="1"/>
  <c r="M26" i="2"/>
  <c r="O31" i="2"/>
  <c r="M31" i="2"/>
  <c r="O28" i="2"/>
  <c r="P28" i="2" s="1"/>
  <c r="O26" i="2"/>
  <c r="P26" i="2" s="1"/>
  <c r="AM27" i="1"/>
  <c r="AL27" i="1" s="1"/>
  <c r="O27" i="2"/>
  <c r="P27" i="2" s="1"/>
  <c r="AM31" i="1"/>
  <c r="AL31" i="1" s="1"/>
  <c r="J27" i="2" a="1"/>
  <c r="J27" i="2" s="1"/>
  <c r="AM35" i="1"/>
  <c r="AL35" i="1" s="1"/>
  <c r="J28" i="2" a="1"/>
  <c r="J28" i="2" s="1"/>
  <c r="C63" i="1"/>
  <c r="D63" i="1" s="1"/>
  <c r="J19" i="2" a="1"/>
  <c r="J19" i="2" s="1"/>
  <c r="C65" i="1"/>
  <c r="D65" i="1" s="1"/>
  <c r="F20" i="2" a="1"/>
  <c r="F20" i="2" s="1"/>
  <c r="C67" i="1"/>
  <c r="D67" i="1" s="1"/>
  <c r="O20" i="2"/>
  <c r="P20" i="2" s="1"/>
  <c r="J20" i="2" a="1"/>
  <c r="J20" i="2" s="1"/>
  <c r="O21" i="2"/>
  <c r="P21" i="2" s="1"/>
  <c r="AM7" i="1"/>
  <c r="AL7" i="1" s="1"/>
  <c r="J21" i="2" a="1"/>
  <c r="J21" i="2" s="1"/>
  <c r="AM11" i="1"/>
  <c r="AL11" i="1" s="1"/>
  <c r="J22" i="2" a="1"/>
  <c r="J22" i="2" s="1"/>
  <c r="AM15" i="1"/>
  <c r="AL15" i="1" s="1"/>
  <c r="O23" i="2"/>
  <c r="P23" i="2" s="1"/>
  <c r="J23" i="2" a="1"/>
  <c r="J23" i="2" s="1"/>
  <c r="AM5" i="1"/>
  <c r="AL5" i="1" s="1"/>
  <c r="F21" i="2" a="1"/>
  <c r="F21" i="2" s="1"/>
  <c r="AM9" i="1"/>
  <c r="AL9" i="1" s="1"/>
  <c r="F22" i="2" a="1"/>
  <c r="F22" i="2" s="1"/>
  <c r="AM13" i="1"/>
  <c r="AL13" i="1" s="1"/>
  <c r="F23" i="2" a="1"/>
  <c r="F23" i="2" s="1"/>
  <c r="AM17" i="1"/>
  <c r="AL17" i="1" s="1"/>
  <c r="F24" i="2" a="1"/>
  <c r="F24" i="2" s="1"/>
  <c r="AM25" i="1"/>
  <c r="AL25" i="1" s="1"/>
  <c r="F26" i="2" a="1"/>
  <c r="F26" i="2" s="1"/>
  <c r="AM29" i="1"/>
  <c r="AL29" i="1" s="1"/>
  <c r="F27" i="2" a="1"/>
  <c r="F27" i="2" s="1"/>
  <c r="AM33" i="1"/>
  <c r="AL33" i="1" s="1"/>
  <c r="F28" i="2" a="1"/>
  <c r="F28" i="2" s="1"/>
  <c r="AM37" i="1"/>
  <c r="AL37" i="1" s="1"/>
  <c r="F29" i="2" a="1"/>
  <c r="F29" i="2" s="1"/>
  <c r="AM39" i="1"/>
  <c r="AL39" i="1" s="1"/>
  <c r="O29" i="2"/>
  <c r="P29" i="2" s="1"/>
  <c r="J29" i="2" a="1"/>
  <c r="J29" i="2" s="1"/>
  <c r="AM41" i="1"/>
  <c r="AL41" i="1" s="1"/>
  <c r="O30" i="2"/>
  <c r="P30" i="2" s="1"/>
  <c r="F30" i="2" a="1"/>
  <c r="F30" i="2" s="1"/>
  <c r="AM43" i="1"/>
  <c r="AL43" i="1" s="1"/>
  <c r="J30" i="2" a="1"/>
  <c r="J30" i="2" s="1"/>
  <c r="AM45" i="1"/>
  <c r="AL45" i="1" s="1"/>
  <c r="F31" i="2" a="1"/>
  <c r="F31" i="2" s="1"/>
  <c r="AM47" i="1"/>
  <c r="AL47" i="1" s="1"/>
  <c r="J31" i="2" a="1"/>
  <c r="J31" i="2" s="1"/>
  <c r="AM49" i="1"/>
  <c r="AL49" i="1" s="1"/>
  <c r="F32" i="2" a="1"/>
  <c r="F32" i="2" s="1"/>
  <c r="O32" i="2"/>
  <c r="P32" i="2" s="1"/>
  <c r="AM51" i="1"/>
  <c r="AL51" i="1" s="1"/>
  <c r="J32" i="2" a="1"/>
  <c r="J32" i="2" s="1"/>
  <c r="AM53" i="1"/>
  <c r="AL53" i="1" s="1"/>
  <c r="O33" i="2"/>
  <c r="P33" i="2" s="1"/>
  <c r="F33" i="2" a="1"/>
  <c r="F33" i="2" s="1"/>
  <c r="AM55" i="1"/>
  <c r="AL55" i="1" s="1"/>
  <c r="J33" i="2" a="1"/>
  <c r="J33" i="2" s="1"/>
  <c r="AM57" i="1"/>
  <c r="AL57" i="1" s="1"/>
  <c r="F34" i="2" a="1"/>
  <c r="F34" i="2" s="1"/>
  <c r="AM59" i="1"/>
  <c r="AL59" i="1" s="1"/>
  <c r="J34" i="2" a="1"/>
  <c r="J34" i="2" s="1"/>
  <c r="AM61" i="1"/>
  <c r="AL61" i="1" s="1"/>
  <c r="F35" i="2" a="1"/>
  <c r="F35" i="2" s="1"/>
  <c r="AM63" i="1"/>
  <c r="AL63" i="1" s="1"/>
  <c r="J35" i="2" a="1"/>
  <c r="J35" i="2" s="1"/>
  <c r="AM65" i="1"/>
  <c r="AL65" i="1" s="1"/>
  <c r="O36" i="2"/>
  <c r="P36" i="2" s="1"/>
  <c r="F36" i="2" a="1"/>
  <c r="F36" i="2" s="1"/>
  <c r="AL67" i="1"/>
  <c r="J36" i="2" a="1"/>
  <c r="J36" i="2" s="1"/>
  <c r="R18" i="2"/>
  <c r="R17" i="2"/>
  <c r="R16" i="2"/>
  <c r="R15" i="2"/>
  <c r="R14" i="2"/>
  <c r="R13" i="2"/>
  <c r="R12" i="2"/>
  <c r="R9" i="2"/>
  <c r="R8" i="2"/>
  <c r="R7" i="2"/>
  <c r="R11" i="2"/>
  <c r="R6" i="2"/>
  <c r="R10" i="2"/>
  <c r="R5" i="2"/>
  <c r="F29" i="1"/>
  <c r="G29" i="1" s="1"/>
  <c r="G41" i="2"/>
  <c r="K41" i="2" s="1"/>
  <c r="G40" i="2"/>
  <c r="K40" i="2" s="1"/>
  <c r="F21" i="1"/>
  <c r="G21" i="1" s="1"/>
  <c r="G39" i="2"/>
  <c r="K39" i="2" s="1"/>
  <c r="F13" i="1"/>
  <c r="G13" i="1" s="1"/>
  <c r="I40" i="2"/>
  <c r="M40" i="2" s="1"/>
  <c r="F25" i="1"/>
  <c r="G25" i="1" s="1"/>
  <c r="G38" i="2"/>
  <c r="K38" i="2" s="1"/>
  <c r="F5" i="1"/>
  <c r="G53" i="2"/>
  <c r="K53" i="2" s="1"/>
  <c r="AJ61" i="1"/>
  <c r="AI61" i="1" s="1"/>
  <c r="G44" i="2"/>
  <c r="K44" i="2" s="1"/>
  <c r="F53" i="1"/>
  <c r="G53" i="1" s="1"/>
  <c r="I39" i="2"/>
  <c r="M39" i="2" s="1"/>
  <c r="F17" i="1"/>
  <c r="G17" i="1" s="1"/>
  <c r="F57" i="1"/>
  <c r="G57" i="1" s="1"/>
  <c r="I44" i="2"/>
  <c r="M44" i="2" s="1"/>
  <c r="I38" i="2"/>
  <c r="M38" i="2" s="1"/>
  <c r="F9" i="1"/>
  <c r="G9" i="1" s="1"/>
  <c r="I43" i="2"/>
  <c r="M43" i="2" s="1"/>
  <c r="F49" i="1"/>
  <c r="G49" i="1" s="1"/>
  <c r="F37" i="1"/>
  <c r="G37" i="1" s="1"/>
  <c r="G42" i="2"/>
  <c r="K42" i="2" s="1"/>
  <c r="G43" i="2"/>
  <c r="K43" i="2" s="1"/>
  <c r="F45" i="1"/>
  <c r="G45" i="1" s="1"/>
  <c r="F41" i="1"/>
  <c r="G41" i="1" s="1"/>
  <c r="I42" i="2"/>
  <c r="M42" i="2" s="1"/>
  <c r="I41" i="2"/>
  <c r="M41" i="2" s="1"/>
  <c r="F33" i="1"/>
  <c r="G33" i="1" s="1"/>
  <c r="A5" i="2"/>
  <c r="D55" i="2"/>
  <c r="D56" i="2"/>
  <c r="D57" i="2"/>
  <c r="D58" i="2"/>
  <c r="D59" i="2"/>
  <c r="D60" i="2"/>
  <c r="D61" i="2"/>
  <c r="D62" i="2"/>
  <c r="D72" i="2"/>
  <c r="D70" i="2"/>
  <c r="D69" i="2"/>
  <c r="D65" i="2"/>
  <c r="D66" i="2"/>
  <c r="D67" i="2"/>
  <c r="D64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38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5" i="2"/>
  <c r="A6" i="1"/>
  <c r="A10" i="1" s="1"/>
  <c r="A14" i="1" s="1"/>
  <c r="A18" i="1" s="1"/>
  <c r="A21" i="1" s="1"/>
  <c r="A26" i="1" s="1"/>
  <c r="A30" i="1" s="1"/>
  <c r="A34" i="1" s="1"/>
  <c r="A38" i="1" s="1"/>
  <c r="A42" i="1" s="1"/>
  <c r="A46" i="1" s="1"/>
  <c r="A50" i="1" s="1"/>
  <c r="A54" i="1" s="1"/>
  <c r="A58" i="1" s="1"/>
  <c r="A62" i="1" s="1"/>
  <c r="A66" i="1" s="1"/>
  <c r="AO6" i="1" s="1"/>
  <c r="AO10" i="1" s="1"/>
  <c r="AO14" i="1" s="1"/>
  <c r="AO18" i="1" s="1"/>
  <c r="AO22" i="1" s="1"/>
  <c r="AO26" i="1" s="1"/>
  <c r="AO30" i="1" s="1"/>
  <c r="AO34" i="1" s="1"/>
  <c r="AO38" i="1" s="1"/>
  <c r="AO42" i="1" s="1"/>
  <c r="AO46" i="1" s="1"/>
  <c r="AO50" i="1" s="1"/>
  <c r="AO54" i="1" s="1"/>
  <c r="AO58" i="1" s="1"/>
  <c r="AO62" i="1" s="1"/>
  <c r="AO66" i="1" s="1"/>
  <c r="F7" i="1" s="1"/>
  <c r="A22" i="2"/>
  <c r="B22" i="2"/>
  <c r="A23" i="2"/>
  <c r="B23" i="2"/>
  <c r="A24" i="2"/>
  <c r="B24" i="2"/>
  <c r="A25" i="2"/>
  <c r="B25" i="2"/>
  <c r="A26" i="2"/>
  <c r="B26" i="2"/>
  <c r="A27" i="2"/>
  <c r="B27" i="2"/>
  <c r="A28" i="2"/>
  <c r="B28" i="2"/>
  <c r="A29" i="2"/>
  <c r="B29" i="2"/>
  <c r="A30" i="2"/>
  <c r="B30" i="2"/>
  <c r="A31" i="2"/>
  <c r="B31" i="2"/>
  <c r="A32" i="2"/>
  <c r="B32" i="2"/>
  <c r="A33" i="2"/>
  <c r="B33" i="2"/>
  <c r="A34" i="2"/>
  <c r="B34" i="2"/>
  <c r="A35" i="2"/>
  <c r="B35" i="2"/>
  <c r="A36" i="2"/>
  <c r="B36" i="2"/>
  <c r="B21" i="2"/>
  <c r="A21" i="2"/>
  <c r="B20" i="2"/>
  <c r="A20" i="2"/>
  <c r="B19" i="2"/>
  <c r="A19" i="2"/>
  <c r="B18" i="2"/>
  <c r="A18" i="2"/>
  <c r="B17" i="2"/>
  <c r="A17" i="2"/>
  <c r="B16" i="2"/>
  <c r="A16" i="2"/>
  <c r="C16" i="2" s="1"/>
  <c r="B15" i="2"/>
  <c r="A15" i="2"/>
  <c r="C15" i="2" s="1"/>
  <c r="B14" i="2"/>
  <c r="A14" i="2"/>
  <c r="C14" i="2" s="1"/>
  <c r="B13" i="2"/>
  <c r="A13" i="2"/>
  <c r="B12" i="2"/>
  <c r="A12" i="2"/>
  <c r="B11" i="2"/>
  <c r="A11" i="2"/>
  <c r="C11" i="2" s="1"/>
  <c r="B10" i="2"/>
  <c r="A10" i="2"/>
  <c r="B9" i="2"/>
  <c r="A9" i="2"/>
  <c r="B8" i="2"/>
  <c r="A8" i="2"/>
  <c r="C8" i="2" s="1"/>
  <c r="B7" i="2"/>
  <c r="A7" i="2"/>
  <c r="B6" i="2"/>
  <c r="A6" i="2"/>
  <c r="B5" i="2"/>
  <c r="C7" i="2"/>
  <c r="C6" i="2"/>
  <c r="R35" i="2" l="1"/>
  <c r="P22" i="2"/>
  <c r="I46" i="2"/>
  <c r="J46" i="2" s="1" a="1"/>
  <c r="J46" i="2" s="1"/>
  <c r="AJ9" i="1"/>
  <c r="AI9" i="1" s="1"/>
  <c r="P31" i="2"/>
  <c r="G51" i="2"/>
  <c r="AJ45" i="1"/>
  <c r="AI45" i="1" s="1"/>
  <c r="R19" i="2"/>
  <c r="F61" i="1"/>
  <c r="G61" i="1" s="1"/>
  <c r="G45" i="2"/>
  <c r="F45" i="2" s="1" a="1"/>
  <c r="F45" i="2" s="1"/>
  <c r="F65" i="1"/>
  <c r="G65" i="1" s="1"/>
  <c r="R34" i="2"/>
  <c r="R22" i="2"/>
  <c r="R24" i="2"/>
  <c r="R31" i="2"/>
  <c r="I52" i="2"/>
  <c r="J52" i="2" s="1" a="1"/>
  <c r="J52" i="2" s="1"/>
  <c r="AJ57" i="1"/>
  <c r="AI57" i="1" s="1"/>
  <c r="AJ17" i="1"/>
  <c r="AI17" i="1" s="1"/>
  <c r="I47" i="2"/>
  <c r="R25" i="2"/>
  <c r="G48" i="2"/>
  <c r="AJ21" i="1"/>
  <c r="AI21" i="1" s="1"/>
  <c r="G5" i="1"/>
  <c r="I49" i="2"/>
  <c r="AJ33" i="1"/>
  <c r="AI33" i="1" s="1"/>
  <c r="I48" i="2"/>
  <c r="AJ25" i="1"/>
  <c r="AI25" i="1" s="1"/>
  <c r="R20" i="2"/>
  <c r="I45" i="2"/>
  <c r="M45" i="2" s="1"/>
  <c r="J43" i="2" a="1"/>
  <c r="J43" i="2" s="1"/>
  <c r="G49" i="2"/>
  <c r="K49" i="2" s="1"/>
  <c r="AJ29" i="1"/>
  <c r="AI29" i="1" s="1"/>
  <c r="F41" i="2" a="1"/>
  <c r="F41" i="2" s="1"/>
  <c r="F39" i="2" a="1"/>
  <c r="F39" i="2" s="1"/>
  <c r="F38" i="2" a="1"/>
  <c r="F38" i="2" s="1"/>
  <c r="F53" i="2" a="1"/>
  <c r="F53" i="2" s="1"/>
  <c r="R28" i="2"/>
  <c r="R26" i="2"/>
  <c r="R27" i="2"/>
  <c r="R23" i="2"/>
  <c r="AJ13" i="1"/>
  <c r="AI13" i="1" s="1"/>
  <c r="G47" i="2"/>
  <c r="K47" i="2" s="1"/>
  <c r="I51" i="2"/>
  <c r="M51" i="2" s="1"/>
  <c r="AJ49" i="1"/>
  <c r="AI49" i="1" s="1"/>
  <c r="R21" i="2"/>
  <c r="G52" i="2"/>
  <c r="K52" i="2" s="1"/>
  <c r="AJ53" i="1"/>
  <c r="AI53" i="1" s="1"/>
  <c r="G46" i="2"/>
  <c r="K46" i="2" s="1"/>
  <c r="AJ5" i="1"/>
  <c r="I53" i="2"/>
  <c r="M53" i="2" s="1"/>
  <c r="AJ65" i="1"/>
  <c r="AI65" i="1" s="1"/>
  <c r="I50" i="2"/>
  <c r="M50" i="2" s="1"/>
  <c r="AJ41" i="1"/>
  <c r="AI41" i="1" s="1"/>
  <c r="R29" i="2"/>
  <c r="R30" i="2"/>
  <c r="R36" i="2"/>
  <c r="R33" i="2"/>
  <c r="R32" i="2"/>
  <c r="AJ37" i="1"/>
  <c r="AI37" i="1" s="1"/>
  <c r="G50" i="2"/>
  <c r="K50" i="2" s="1"/>
  <c r="O41" i="2"/>
  <c r="P41" i="2" s="1"/>
  <c r="A40" i="2"/>
  <c r="F40" i="2" a="1"/>
  <c r="F40" i="2" s="1"/>
  <c r="O38" i="2"/>
  <c r="P38" i="2" s="1"/>
  <c r="O40" i="2"/>
  <c r="P40" i="2" s="1"/>
  <c r="J40" i="2" a="1"/>
  <c r="J40" i="2" s="1"/>
  <c r="O44" i="2"/>
  <c r="P44" i="2" s="1"/>
  <c r="O43" i="2"/>
  <c r="P43" i="2" s="1"/>
  <c r="A44" i="2"/>
  <c r="F44" i="2" a="1"/>
  <c r="F44" i="2" s="1"/>
  <c r="O42" i="2"/>
  <c r="P42" i="2" s="1"/>
  <c r="J39" i="2" a="1"/>
  <c r="J39" i="2" s="1"/>
  <c r="O39" i="2"/>
  <c r="P39" i="2" s="1"/>
  <c r="J38" i="2" a="1"/>
  <c r="J38" i="2" s="1"/>
  <c r="J44" i="2" a="1"/>
  <c r="J44" i="2" s="1"/>
  <c r="B44" i="2"/>
  <c r="F42" i="2" a="1"/>
  <c r="F42" i="2" s="1"/>
  <c r="F43" i="2" a="1"/>
  <c r="F43" i="2" s="1"/>
  <c r="J42" i="2" a="1"/>
  <c r="J42" i="2" s="1"/>
  <c r="B42" i="2"/>
  <c r="J41" i="2" a="1"/>
  <c r="J41" i="2" s="1"/>
  <c r="B41" i="2"/>
  <c r="C22" i="2"/>
  <c r="C23" i="2"/>
  <c r="C28" i="2"/>
  <c r="C30" i="2"/>
  <c r="C35" i="2"/>
  <c r="C36" i="2"/>
  <c r="C27" i="2"/>
  <c r="C20" i="2"/>
  <c r="C12" i="2"/>
  <c r="C33" i="2"/>
  <c r="C5" i="2"/>
  <c r="C31" i="2"/>
  <c r="C21" i="2"/>
  <c r="C32" i="2"/>
  <c r="B43" i="2"/>
  <c r="C18" i="2"/>
  <c r="A43" i="2"/>
  <c r="C26" i="2"/>
  <c r="C25" i="2"/>
  <c r="C9" i="2"/>
  <c r="A39" i="2"/>
  <c r="C17" i="2"/>
  <c r="A41" i="2"/>
  <c r="E38" i="2"/>
  <c r="F15" i="1"/>
  <c r="F23" i="1" s="1"/>
  <c r="F31" i="1" s="1"/>
  <c r="F39" i="1" s="1"/>
  <c r="F47" i="1" s="1"/>
  <c r="F55" i="1" s="1"/>
  <c r="F63" i="1" s="1"/>
  <c r="AJ7" i="1" s="1"/>
  <c r="AJ15" i="1" s="1"/>
  <c r="AJ23" i="1" s="1"/>
  <c r="AJ31" i="1" s="1"/>
  <c r="AJ39" i="1" s="1"/>
  <c r="AJ47" i="1" s="1"/>
  <c r="AJ55" i="1" s="1"/>
  <c r="AJ63" i="1" s="1"/>
  <c r="I11" i="1" s="1"/>
  <c r="I27" i="1" s="1"/>
  <c r="I43" i="1" s="1"/>
  <c r="I59" i="1" s="1"/>
  <c r="AG11" i="1" s="1"/>
  <c r="AG27" i="1" s="1"/>
  <c r="AG43" i="1" s="1"/>
  <c r="AG59" i="1" s="1"/>
  <c r="L21" i="1" s="1"/>
  <c r="L53" i="1" s="1"/>
  <c r="AD21" i="1" s="1"/>
  <c r="AD53" i="1" s="1"/>
  <c r="O35" i="1" s="1"/>
  <c r="AA35" i="1" s="1"/>
  <c r="T35" i="1" s="1"/>
  <c r="C34" i="2"/>
  <c r="A38" i="2"/>
  <c r="B38" i="2"/>
  <c r="C24" i="2"/>
  <c r="C29" i="2"/>
  <c r="B40" i="2"/>
  <c r="A42" i="2"/>
  <c r="C13" i="2"/>
  <c r="C19" i="2"/>
  <c r="A53" i="2"/>
  <c r="B39" i="2"/>
  <c r="K51" i="2" l="1"/>
  <c r="A51" i="2"/>
  <c r="F51" i="2" a="1"/>
  <c r="F51" i="2" s="1"/>
  <c r="M46" i="2"/>
  <c r="B46" i="2"/>
  <c r="K45" i="2"/>
  <c r="A45" i="2"/>
  <c r="M52" i="2"/>
  <c r="B52" i="2"/>
  <c r="M47" i="2"/>
  <c r="J47" i="2" a="1"/>
  <c r="J47" i="2" s="1"/>
  <c r="B47" i="2"/>
  <c r="K48" i="2"/>
  <c r="A48" i="2"/>
  <c r="F48" i="2" a="1"/>
  <c r="F48" i="2" s="1"/>
  <c r="AI5" i="1"/>
  <c r="M49" i="2"/>
  <c r="J49" i="2" a="1"/>
  <c r="J49" i="2" s="1"/>
  <c r="B48" i="2"/>
  <c r="J48" i="2" a="1"/>
  <c r="J48" i="2" s="1"/>
  <c r="M48" i="2"/>
  <c r="O48" i="2"/>
  <c r="P48" i="2" s="1"/>
  <c r="B49" i="2"/>
  <c r="J45" i="2" a="1"/>
  <c r="J45" i="2" s="1"/>
  <c r="B45" i="2"/>
  <c r="O45" i="2"/>
  <c r="P45" i="2" s="1"/>
  <c r="O51" i="2"/>
  <c r="P51" i="2" s="1"/>
  <c r="O53" i="2"/>
  <c r="P53" i="2" s="1"/>
  <c r="A46" i="2"/>
  <c r="F46" i="2" a="1"/>
  <c r="F46" i="2" s="1"/>
  <c r="O49" i="2"/>
  <c r="P49" i="2" s="1"/>
  <c r="A49" i="2"/>
  <c r="F49" i="2" a="1"/>
  <c r="F49" i="2" s="1"/>
  <c r="O47" i="2"/>
  <c r="P47" i="2" s="1"/>
  <c r="O52" i="2"/>
  <c r="P52" i="2" s="1"/>
  <c r="O46" i="2"/>
  <c r="P46" i="2" s="1"/>
  <c r="F47" i="2" a="1"/>
  <c r="F47" i="2" s="1"/>
  <c r="A47" i="2"/>
  <c r="B51" i="2"/>
  <c r="J51" i="2" a="1"/>
  <c r="J51" i="2" s="1"/>
  <c r="A52" i="2"/>
  <c r="F52" i="2" a="1"/>
  <c r="F52" i="2" s="1"/>
  <c r="B53" i="2"/>
  <c r="J53" i="2" a="1"/>
  <c r="J53" i="2" s="1"/>
  <c r="O50" i="2"/>
  <c r="P50" i="2" s="1"/>
  <c r="J50" i="2" a="1"/>
  <c r="J50" i="2" s="1"/>
  <c r="B50" i="2"/>
  <c r="F50" i="2" a="1"/>
  <c r="F50" i="2" s="1"/>
  <c r="A50" i="2"/>
  <c r="R39" i="2"/>
  <c r="R42" i="2"/>
  <c r="R38" i="2"/>
  <c r="R40" i="2"/>
  <c r="R44" i="2"/>
  <c r="R43" i="2"/>
  <c r="R41" i="2"/>
  <c r="I56" i="2"/>
  <c r="M56" i="2" s="1"/>
  <c r="I31" i="1"/>
  <c r="J31" i="1" s="1"/>
  <c r="G55" i="2"/>
  <c r="K55" i="2" s="1"/>
  <c r="I7" i="1"/>
  <c r="J7" i="1" s="1"/>
  <c r="I23" i="1"/>
  <c r="J23" i="1" s="1"/>
  <c r="G56" i="2"/>
  <c r="K56" i="2" s="1"/>
  <c r="C40" i="2"/>
  <c r="I55" i="1"/>
  <c r="J55" i="1" s="1"/>
  <c r="G58" i="2"/>
  <c r="K58" i="2" s="1"/>
  <c r="C44" i="2"/>
  <c r="I55" i="2"/>
  <c r="M55" i="2" s="1"/>
  <c r="I15" i="1"/>
  <c r="J15" i="1" s="1"/>
  <c r="G57" i="2"/>
  <c r="K57" i="2" s="1"/>
  <c r="I39" i="1"/>
  <c r="J39" i="1" s="1"/>
  <c r="C43" i="2"/>
  <c r="I57" i="2"/>
  <c r="M57" i="2" s="1"/>
  <c r="I47" i="1"/>
  <c r="J47" i="1" s="1"/>
  <c r="C42" i="2"/>
  <c r="C41" i="2"/>
  <c r="C39" i="2"/>
  <c r="C38" i="2"/>
  <c r="C10" i="2"/>
  <c r="R48" i="2" l="1"/>
  <c r="C48" i="2"/>
  <c r="G60" i="2"/>
  <c r="AG23" i="1"/>
  <c r="AF23" i="1" s="1"/>
  <c r="C45" i="2"/>
  <c r="I58" i="2"/>
  <c r="M58" i="2" s="1"/>
  <c r="R45" i="2"/>
  <c r="I63" i="1"/>
  <c r="J63" i="1" s="1"/>
  <c r="C51" i="2"/>
  <c r="R51" i="2"/>
  <c r="C53" i="2"/>
  <c r="R53" i="2"/>
  <c r="R49" i="2"/>
  <c r="AG47" i="1"/>
  <c r="AF47" i="1" s="1"/>
  <c r="I61" i="2"/>
  <c r="M61" i="2" s="1"/>
  <c r="I62" i="2"/>
  <c r="M62" i="2" s="1"/>
  <c r="AG63" i="1"/>
  <c r="AF63" i="1" s="1"/>
  <c r="AG31" i="1"/>
  <c r="AF31" i="1" s="1"/>
  <c r="I60" i="2"/>
  <c r="M60" i="2" s="1"/>
  <c r="C49" i="2"/>
  <c r="R47" i="2"/>
  <c r="C47" i="2"/>
  <c r="C52" i="2"/>
  <c r="R52" i="2"/>
  <c r="I59" i="2"/>
  <c r="M59" i="2" s="1"/>
  <c r="AG15" i="1"/>
  <c r="AF15" i="1" s="1"/>
  <c r="G62" i="2"/>
  <c r="K62" i="2" s="1"/>
  <c r="AG55" i="1"/>
  <c r="AF55" i="1" s="1"/>
  <c r="R46" i="2"/>
  <c r="C46" i="2"/>
  <c r="G59" i="2"/>
  <c r="K59" i="2" s="1"/>
  <c r="AG7" i="1"/>
  <c r="AF7" i="1" s="1"/>
  <c r="R50" i="2"/>
  <c r="G61" i="2"/>
  <c r="K61" i="2" s="1"/>
  <c r="AG39" i="1"/>
  <c r="AF39" i="1" s="1"/>
  <c r="C50" i="2"/>
  <c r="O56" i="2"/>
  <c r="P56" i="2" s="1"/>
  <c r="J56" i="2" a="1"/>
  <c r="J56" i="2" s="1"/>
  <c r="B56" i="2"/>
  <c r="F55" i="2" a="1"/>
  <c r="F55" i="2" s="1"/>
  <c r="A55" i="2"/>
  <c r="A56" i="2"/>
  <c r="F56" i="2" a="1"/>
  <c r="F56" i="2" s="1"/>
  <c r="A58" i="2"/>
  <c r="F58" i="2" a="1"/>
  <c r="F58" i="2" s="1"/>
  <c r="O57" i="2"/>
  <c r="P57" i="2" s="1"/>
  <c r="B55" i="2"/>
  <c r="J55" i="2" a="1"/>
  <c r="J55" i="2" s="1"/>
  <c r="O55" i="2"/>
  <c r="P55" i="2" s="1"/>
  <c r="A57" i="2"/>
  <c r="F57" i="2" a="1"/>
  <c r="F57" i="2" s="1"/>
  <c r="B57" i="2"/>
  <c r="J57" i="2" a="1"/>
  <c r="J57" i="2" s="1"/>
  <c r="K60" i="2" l="1"/>
  <c r="A60" i="2"/>
  <c r="F60" i="2" a="1"/>
  <c r="F60" i="2" s="1"/>
  <c r="J58" i="2" a="1"/>
  <c r="J58" i="2" s="1"/>
  <c r="B58" i="2"/>
  <c r="O58" i="2"/>
  <c r="P58" i="2" s="1"/>
  <c r="J61" i="2" a="1"/>
  <c r="J61" i="2" s="1"/>
  <c r="B61" i="2"/>
  <c r="O62" i="2"/>
  <c r="P62" i="2" s="1"/>
  <c r="J62" i="2" a="1"/>
  <c r="J62" i="2" s="1"/>
  <c r="B62" i="2"/>
  <c r="O60" i="2"/>
  <c r="P60" i="2" s="1"/>
  <c r="B60" i="2"/>
  <c r="J60" i="2" a="1"/>
  <c r="J60" i="2" s="1"/>
  <c r="O59" i="2"/>
  <c r="P59" i="2" s="1"/>
  <c r="J59" i="2" a="1"/>
  <c r="J59" i="2" s="1"/>
  <c r="B59" i="2"/>
  <c r="F62" i="2" a="1"/>
  <c r="F62" i="2" s="1"/>
  <c r="A62" i="2"/>
  <c r="A59" i="2"/>
  <c r="F59" i="2" a="1"/>
  <c r="F59" i="2" s="1"/>
  <c r="F61" i="2" a="1"/>
  <c r="F61" i="2" s="1"/>
  <c r="A61" i="2"/>
  <c r="O61" i="2"/>
  <c r="P61" i="2" s="1"/>
  <c r="R57" i="2"/>
  <c r="R55" i="2"/>
  <c r="R56" i="2"/>
  <c r="L27" i="1"/>
  <c r="M27" i="1" s="1"/>
  <c r="I64" i="2"/>
  <c r="M64" i="2" s="1"/>
  <c r="C56" i="2"/>
  <c r="C55" i="2"/>
  <c r="G64" i="2"/>
  <c r="K64" i="2" s="1"/>
  <c r="L11" i="1"/>
  <c r="M11" i="1" s="1"/>
  <c r="C57" i="2"/>
  <c r="G65" i="2"/>
  <c r="K65" i="2" s="1"/>
  <c r="L43" i="1"/>
  <c r="M43" i="1" s="1"/>
  <c r="C60" i="2" l="1"/>
  <c r="R58" i="2"/>
  <c r="C58" i="2"/>
  <c r="I65" i="2"/>
  <c r="M65" i="2" s="1"/>
  <c r="L59" i="1"/>
  <c r="M59" i="1" s="1"/>
  <c r="R60" i="2"/>
  <c r="I67" i="2"/>
  <c r="M67" i="2" s="1"/>
  <c r="AD59" i="1"/>
  <c r="AC59" i="1" s="1"/>
  <c r="R62" i="2"/>
  <c r="C62" i="2"/>
  <c r="AD27" i="1"/>
  <c r="AC27" i="1" s="1"/>
  <c r="I66" i="2"/>
  <c r="M66" i="2" s="1"/>
  <c r="C59" i="2"/>
  <c r="AD11" i="1"/>
  <c r="AC11" i="1" s="1"/>
  <c r="G66" i="2"/>
  <c r="K66" i="2" s="1"/>
  <c r="R59" i="2"/>
  <c r="R61" i="2"/>
  <c r="G67" i="2"/>
  <c r="K67" i="2" s="1"/>
  <c r="C61" i="2"/>
  <c r="AD43" i="1"/>
  <c r="AC43" i="1" s="1"/>
  <c r="B64" i="2"/>
  <c r="J64" i="2" a="1"/>
  <c r="J64" i="2" s="1"/>
  <c r="O64" i="2"/>
  <c r="P64" i="2" s="1"/>
  <c r="A64" i="2"/>
  <c r="F64" i="2" a="1"/>
  <c r="F64" i="2" s="1"/>
  <c r="A65" i="2"/>
  <c r="F65" i="2" a="1"/>
  <c r="F65" i="2" s="1"/>
  <c r="O65" i="2" l="1"/>
  <c r="P65" i="2" s="1"/>
  <c r="B65" i="2"/>
  <c r="J65" i="2" a="1"/>
  <c r="J65" i="2" s="1"/>
  <c r="B67" i="2"/>
  <c r="J67" i="2" a="1"/>
  <c r="J67" i="2" s="1"/>
  <c r="J66" i="2" a="1"/>
  <c r="J66" i="2" s="1"/>
  <c r="B66" i="2"/>
  <c r="A66" i="2"/>
  <c r="O66" i="2"/>
  <c r="P66" i="2" s="1"/>
  <c r="F66" i="2" a="1"/>
  <c r="F66" i="2" s="1"/>
  <c r="O67" i="2"/>
  <c r="P67" i="2" s="1"/>
  <c r="A67" i="2"/>
  <c r="F67" i="2" a="1"/>
  <c r="F67" i="2" s="1"/>
  <c r="R64" i="2"/>
  <c r="C64" i="2"/>
  <c r="G69" i="2"/>
  <c r="K69" i="2" s="1"/>
  <c r="O19" i="1"/>
  <c r="P19" i="1" s="1"/>
  <c r="R65" i="2" l="1"/>
  <c r="C65" i="2"/>
  <c r="I69" i="2"/>
  <c r="O51" i="1"/>
  <c r="P51" i="1" s="1"/>
  <c r="R67" i="2"/>
  <c r="G70" i="2"/>
  <c r="K70" i="2" s="1"/>
  <c r="C66" i="2"/>
  <c r="R66" i="2"/>
  <c r="AA19" i="1"/>
  <c r="Z19" i="1" s="1"/>
  <c r="I70" i="2"/>
  <c r="M70" i="2" s="1"/>
  <c r="AA51" i="1"/>
  <c r="Z51" i="1" s="1"/>
  <c r="C67" i="2"/>
  <c r="A69" i="2"/>
  <c r="F69" i="2" a="1"/>
  <c r="F69" i="2" s="1"/>
  <c r="M69" i="2" l="1"/>
  <c r="O69" i="2"/>
  <c r="P69" i="2" s="1"/>
  <c r="J69" i="2" a="1"/>
  <c r="J69" i="2" s="1"/>
  <c r="B69" i="2"/>
  <c r="O70" i="2"/>
  <c r="P70" i="2" s="1"/>
  <c r="A70" i="2"/>
  <c r="F70" i="2" a="1"/>
  <c r="F70" i="2" s="1"/>
  <c r="B70" i="2"/>
  <c r="J70" i="2" a="1"/>
  <c r="J70" i="2" s="1"/>
  <c r="R69" i="2" l="1"/>
  <c r="C69" i="2"/>
  <c r="G72" i="2"/>
  <c r="F72" i="2" s="1" a="1"/>
  <c r="F72" i="2" s="1"/>
  <c r="R27" i="1"/>
  <c r="U27" i="1" s="1"/>
  <c r="V39" i="1"/>
  <c r="U39" i="1" s="1"/>
  <c r="I72" i="2"/>
  <c r="M72" i="2" s="1"/>
  <c r="R70" i="2"/>
  <c r="C70" i="2"/>
  <c r="K72" i="2" l="1"/>
  <c r="A72" i="2"/>
  <c r="O72" i="2"/>
  <c r="P72" i="2" s="1"/>
  <c r="B72" i="2"/>
  <c r="J72" i="2" a="1"/>
  <c r="J72" i="2" s="1"/>
  <c r="S32" i="1" l="1"/>
  <c r="T11" i="1" s="1"/>
  <c r="R72" i="2"/>
  <c r="C7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Vertex42</author>
  </authors>
  <commentList>
    <comment ref="B5" authorId="0" shapeId="0" xr:uid="{00000000-0006-0000-0000-000001000000}">
      <text>
        <r>
          <rPr>
            <sz val="8"/>
            <color indexed="81"/>
            <rFont val="Tahoma"/>
            <family val="2"/>
          </rPr>
          <t>Seed</t>
        </r>
      </text>
    </comment>
    <comment ref="E5" authorId="0" shapeId="0" xr:uid="{00000000-0006-0000-0000-000002000000}">
      <text>
        <r>
          <rPr>
            <sz val="8"/>
            <color indexed="81"/>
            <rFont val="Tahoma"/>
            <family val="2"/>
          </rPr>
          <t>Score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2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</futureMetadata>
  <cellMetadata count="1">
    <bk>
      <rc t="1" v="0"/>
    </bk>
  </cellMetadata>
  <valueMetadata count="128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</valueMetadata>
</metadata>
</file>

<file path=xl/sharedStrings.xml><?xml version="1.0" encoding="utf-8"?>
<sst xmlns="http://schemas.openxmlformats.org/spreadsheetml/2006/main" count="301" uniqueCount="159">
  <si>
    <t>National Champion</t>
  </si>
  <si>
    <t>Final Four</t>
  </si>
  <si>
    <t>Championship</t>
  </si>
  <si>
    <t>East</t>
  </si>
  <si>
    <t>West</t>
  </si>
  <si>
    <t>Elite 8</t>
  </si>
  <si>
    <t>Sweet 16</t>
  </si>
  <si>
    <t>Second Round</t>
  </si>
  <si>
    <t>Winner</t>
  </si>
  <si>
    <t>vs</t>
  </si>
  <si>
    <t>Game #</t>
  </si>
  <si>
    <t>Seed Bonus</t>
  </si>
  <si>
    <t>Loser</t>
  </si>
  <si>
    <t>Tournament Picks for Multiple Players</t>
  </si>
  <si>
    <t>Midwest</t>
  </si>
  <si>
    <t>South</t>
  </si>
  <si>
    <t>Show Game Numbers</t>
  </si>
  <si>
    <t>x</t>
  </si>
  <si>
    <t>checkbox</t>
  </si>
  <si>
    <t>First Round</t>
  </si>
  <si>
    <t>2026 NCAA Basketball Tournament Bracket</t>
  </si>
  <si>
    <t>Seed</t>
  </si>
  <si>
    <t>Team</t>
  </si>
  <si>
    <t>Region</t>
  </si>
  <si>
    <t>Score 1</t>
  </si>
  <si>
    <t>Score 2</t>
  </si>
  <si>
    <t>.</t>
  </si>
  <si>
    <t>Logo</t>
  </si>
  <si>
    <t>abilene-christian</t>
  </si>
  <si>
    <t>Hyperlink Name</t>
  </si>
  <si>
    <t>arizona</t>
  </si>
  <si>
    <t>air-force</t>
  </si>
  <si>
    <t>akron</t>
  </si>
  <si>
    <t>alabama</t>
  </si>
  <si>
    <t>alabama-am</t>
  </si>
  <si>
    <t>alabama-state</t>
  </si>
  <si>
    <t>albany-ny</t>
  </si>
  <si>
    <t>alcorn-state</t>
  </si>
  <si>
    <t>american</t>
  </si>
  <si>
    <t>appalachian-state</t>
  </si>
  <si>
    <t>arizona-state</t>
  </si>
  <si>
    <t>arkansas</t>
  </si>
  <si>
    <t>arkansas-state</t>
  </si>
  <si>
    <t>arkansas-pine-bluff</t>
  </si>
  <si>
    <t>army</t>
  </si>
  <si>
    <t>auburn</t>
  </si>
  <si>
    <t>austin-peay</t>
  </si>
  <si>
    <t>ball-state</t>
  </si>
  <si>
    <t>baylor</t>
  </si>
  <si>
    <t>bellarmine</t>
  </si>
  <si>
    <t>belmont</t>
  </si>
  <si>
    <t>bethune-cookman</t>
  </si>
  <si>
    <t>binghamton</t>
  </si>
  <si>
    <t>boise-state</t>
  </si>
  <si>
    <t>boston-college</t>
  </si>
  <si>
    <t>boston-university</t>
  </si>
  <si>
    <t>bowling-green-state</t>
  </si>
  <si>
    <t>bradley</t>
  </si>
  <si>
    <t>brigham-young</t>
  </si>
  <si>
    <t>brown</t>
  </si>
  <si>
    <t>bryant</t>
  </si>
  <si>
    <t>bucknell</t>
  </si>
  <si>
    <t>buffalo</t>
  </si>
  <si>
    <t>butler</t>
  </si>
  <si>
    <t>cal-poly</t>
  </si>
  <si>
    <t>cal-state-bakersfield</t>
  </si>
  <si>
    <t>cal-state-fullerton</t>
  </si>
  <si>
    <t>cal-state-northridge</t>
  </si>
  <si>
    <t>california</t>
  </si>
  <si>
    <t>california-baptist</t>
  </si>
  <si>
    <t>campbell</t>
  </si>
  <si>
    <t>canisius</t>
  </si>
  <si>
    <t>central-arkansas</t>
  </si>
  <si>
    <t>central-connecticut-state</t>
  </si>
  <si>
    <t>central-michigan</t>
  </si>
  <si>
    <t>charleston-southern</t>
  </si>
  <si>
    <t>charlotte</t>
  </si>
  <si>
    <t>chattanooga</t>
  </si>
  <si>
    <t>chicago-state</t>
  </si>
  <si>
    <t>cincinnati</t>
  </si>
  <si>
    <t>clemson</t>
  </si>
  <si>
    <t>cleveland-state</t>
  </si>
  <si>
    <t>coastal-carolina</t>
  </si>
  <si>
    <t>colgate</t>
  </si>
  <si>
    <t>college-of-charleston</t>
  </si>
  <si>
    <t>colorado</t>
  </si>
  <si>
    <t>colorado-state</t>
  </si>
  <si>
    <t>columbia</t>
  </si>
  <si>
    <t>connecticut</t>
  </si>
  <si>
    <t>coppin-state</t>
  </si>
  <si>
    <t>cornell</t>
  </si>
  <si>
    <t>creighton</t>
  </si>
  <si>
    <t>dartmouth</t>
  </si>
  <si>
    <t>Abilene Christian</t>
  </si>
  <si>
    <t>Air Force</t>
  </si>
  <si>
    <t>Akron</t>
  </si>
  <si>
    <t>Alabama</t>
  </si>
  <si>
    <t>Alabama A&amp;M</t>
  </si>
  <si>
    <t>Alabama State</t>
  </si>
  <si>
    <t>Albany (NY)</t>
  </si>
  <si>
    <t>Alcorn State</t>
  </si>
  <si>
    <t>American</t>
  </si>
  <si>
    <t>Appalachian State</t>
  </si>
  <si>
    <t>Arizona</t>
  </si>
  <si>
    <t>Arizona State</t>
  </si>
  <si>
    <t>Arkansas</t>
  </si>
  <si>
    <t>Arkansas State</t>
  </si>
  <si>
    <t>Arkansas-Pine Bluff</t>
  </si>
  <si>
    <t>Army</t>
  </si>
  <si>
    <t>Auburn</t>
  </si>
  <si>
    <t>Austin Peay</t>
  </si>
  <si>
    <t>Ball State</t>
  </si>
  <si>
    <t>Baylor</t>
  </si>
  <si>
    <t>Bellarmine</t>
  </si>
  <si>
    <t>Belmont</t>
  </si>
  <si>
    <t>Bethune-Cookman</t>
  </si>
  <si>
    <t>Binghamton</t>
  </si>
  <si>
    <t>Boise State</t>
  </si>
  <si>
    <t>Boston College</t>
  </si>
  <si>
    <t>Boston University</t>
  </si>
  <si>
    <t>Bowling Green</t>
  </si>
  <si>
    <t>Bradley</t>
  </si>
  <si>
    <t>Brigham Young</t>
  </si>
  <si>
    <t>Brown</t>
  </si>
  <si>
    <t>Bryant</t>
  </si>
  <si>
    <t>Bucknell</t>
  </si>
  <si>
    <t>Buffalo</t>
  </si>
  <si>
    <t>Butler</t>
  </si>
  <si>
    <t>Cal Poly</t>
  </si>
  <si>
    <t>Cal State Bakersfield</t>
  </si>
  <si>
    <t>Cal State Fullerton</t>
  </si>
  <si>
    <t>Cal State Northridge</t>
  </si>
  <si>
    <t>California</t>
  </si>
  <si>
    <t>California Baptist</t>
  </si>
  <si>
    <t>Campbell</t>
  </si>
  <si>
    <t>Canisius</t>
  </si>
  <si>
    <t>Central Arkansas</t>
  </si>
  <si>
    <t>Central Connecticut State</t>
  </si>
  <si>
    <t>Central Michigan</t>
  </si>
  <si>
    <t>Charleston Southern</t>
  </si>
  <si>
    <t>Charlotte</t>
  </si>
  <si>
    <t>Chattanooga</t>
  </si>
  <si>
    <t>Chicago State</t>
  </si>
  <si>
    <t>Cincinnati</t>
  </si>
  <si>
    <t>Clemson</t>
  </si>
  <si>
    <t>Cleveland State</t>
  </si>
  <si>
    <t>Coastal Carolina</t>
  </si>
  <si>
    <t>Colgate</t>
  </si>
  <si>
    <t>College of Charleston</t>
  </si>
  <si>
    <t>Colorado</t>
  </si>
  <si>
    <t>Colorado State</t>
  </si>
  <si>
    <t>Columbia</t>
  </si>
  <si>
    <t>Connecticut</t>
  </si>
  <si>
    <t>Coppin State</t>
  </si>
  <si>
    <t>Cornell</t>
  </si>
  <si>
    <t>Creighton</t>
  </si>
  <si>
    <t>Dartmouth</t>
  </si>
  <si>
    <t>Pairing</t>
  </si>
  <si>
    <t>Evaluation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</si>
</sst>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3" x14ac:knownFonts="1">
    <font>
      <sz val="10"/>
      <color theme="1"/>
      <name val="Arial"/>
      <family val="2"/>
    </font>
    <font>
      <b/>
      <sz val="11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sz val="8"/>
      <color indexed="81"/>
      <name val="Tahoma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color theme="3"/>
      <name val="Arial"/>
      <family val="2"/>
    </font>
    <font>
      <sz val="10"/>
      <color theme="3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sz val="10"/>
      <color theme="1"/>
      <name val="Georgia Pro Light"/>
      <family val="1"/>
    </font>
    <font>
      <i/>
      <sz val="11"/>
      <color indexed="8"/>
      <name val="Lucida Bright"/>
      <family val="1"/>
    </font>
    <font>
      <i/>
      <sz val="11"/>
      <color rgb="FF003E64"/>
      <name val="Lucida Bright"/>
      <family val="1"/>
    </font>
    <font>
      <b/>
      <sz val="18"/>
      <color rgb="FF003E64"/>
      <name val="Georgia Pro Semibold"/>
      <family val="1"/>
    </font>
    <font>
      <sz val="10"/>
      <color rgb="FFFCF7F2"/>
      <name val="Arial"/>
      <family val="2"/>
    </font>
    <font>
      <sz val="28"/>
      <color rgb="FF003E64"/>
      <name val="Georgia Pro Semibold"/>
      <family val="1"/>
    </font>
    <font>
      <b/>
      <sz val="16"/>
      <name val="Georgia Pro Semibold"/>
      <family val="1"/>
    </font>
    <font>
      <sz val="11"/>
      <color indexed="8"/>
      <name val="Arial"/>
      <family val="2"/>
    </font>
    <font>
      <sz val="11"/>
      <color theme="1"/>
      <name val="Arial"/>
      <family val="2"/>
    </font>
    <font>
      <sz val="11"/>
      <color indexed="23"/>
      <name val="Arial"/>
      <family val="2"/>
    </font>
    <font>
      <sz val="11"/>
      <color indexed="8"/>
      <name val="Garamond"/>
      <family val="1"/>
    </font>
    <font>
      <sz val="11"/>
      <color rgb="FF003E64"/>
      <name val="Lucida Bright"/>
      <family val="1"/>
    </font>
    <font>
      <u/>
      <sz val="11"/>
      <color indexed="12"/>
      <name val="Arial"/>
      <family val="2"/>
    </font>
    <font>
      <sz val="12"/>
      <color theme="1"/>
      <name val="Arial"/>
      <family val="2"/>
    </font>
    <font>
      <sz val="12"/>
      <color indexed="23"/>
      <name val="Arial"/>
      <family val="2"/>
    </font>
    <font>
      <sz val="12"/>
      <color theme="1"/>
      <name val="Georgia Pro Light"/>
      <family val="1"/>
    </font>
    <font>
      <sz val="12"/>
      <color indexed="23"/>
      <name val="Georgia Pro Light"/>
      <family val="1"/>
    </font>
    <font>
      <sz val="12"/>
      <name val="Georgia Pro Light"/>
      <family val="1"/>
    </font>
    <font>
      <i/>
      <sz val="14"/>
      <color indexed="8"/>
      <name val="Lucida Bright"/>
      <family val="1"/>
    </font>
    <font>
      <i/>
      <sz val="14"/>
      <color rgb="FF003E64"/>
      <name val="Lucida Bright"/>
      <family val="1"/>
    </font>
    <font>
      <sz val="14"/>
      <color theme="1"/>
      <name val="Arial"/>
      <family val="2"/>
    </font>
    <font>
      <sz val="14"/>
      <color theme="1"/>
      <name val="Georgia Pro Light"/>
      <family val="1"/>
    </font>
    <font>
      <sz val="10.5"/>
      <color indexed="8"/>
      <name val="Georgia Pro Semibold"/>
      <family val="1"/>
    </font>
    <font>
      <sz val="10.5"/>
      <color theme="1"/>
      <name val="Georgia Pro Semibold"/>
      <family val="1"/>
    </font>
    <font>
      <b/>
      <sz val="11"/>
      <color indexed="8"/>
      <name val="Georgia Pro Semibold"/>
      <family val="1"/>
    </font>
    <font>
      <sz val="11"/>
      <color theme="1"/>
      <name val="Georgia Pro Semibold"/>
      <family val="1"/>
    </font>
    <font>
      <sz val="10"/>
      <color theme="1"/>
      <name val="Georgia Pro Semibold"/>
      <family val="1"/>
    </font>
    <font>
      <b/>
      <sz val="14"/>
      <color indexed="9"/>
      <name val="Lucida Bright"/>
      <family val="1"/>
    </font>
    <font>
      <sz val="14"/>
      <color indexed="9"/>
      <name val="Lucida Bright"/>
      <family val="1"/>
    </font>
    <font>
      <sz val="14"/>
      <color theme="1"/>
      <name val="Lucida Bright"/>
      <family val="1"/>
    </font>
    <font>
      <b/>
      <sz val="14"/>
      <color theme="3"/>
      <name val="Lucida Bright"/>
      <family val="1"/>
    </font>
    <font>
      <sz val="14"/>
      <name val="Lucida Bright"/>
      <family val="1"/>
    </font>
    <font>
      <sz val="10"/>
      <color rgb="FFFCF7F2"/>
      <name val="Georgia Pro"/>
      <family val="1"/>
    </font>
    <font>
      <sz val="16"/>
      <color rgb="FFFCF7F2"/>
      <name val="Georgia Pro"/>
      <family val="1"/>
    </font>
    <font>
      <b/>
      <sz val="11"/>
      <color indexed="9"/>
      <name val="Georgia Pro"/>
      <family val="1"/>
    </font>
    <font>
      <b/>
      <sz val="14"/>
      <color indexed="9"/>
      <name val="Georgia Pro"/>
      <family val="1"/>
    </font>
    <font>
      <sz val="10"/>
      <color theme="1"/>
      <name val="Georgia Pro"/>
      <family val="1"/>
    </font>
    <font>
      <sz val="12"/>
      <color rgb="FFF67008"/>
      <name val="Arial"/>
      <family val="2"/>
    </font>
    <font>
      <sz val="8"/>
      <color rgb="FFE6E8F0"/>
      <name val="Courier New"/>
      <family val="3"/>
    </font>
    <font>
      <b/>
      <sz val="10"/>
      <color theme="1"/>
      <name val="Georgia Pro"/>
      <family val="1"/>
    </font>
    <font>
      <sz val="8"/>
      <color theme="1"/>
      <name val="Georgia Pro"/>
      <family val="1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CF7F2"/>
        <bgColor indexed="64"/>
      </patternFill>
    </fill>
    <fill>
      <patternFill patternType="solid">
        <fgColor rgb="FF003E6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7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 style="medium">
        <color indexed="64"/>
      </bottom>
      <diagonal/>
    </border>
    <border>
      <left style="medium">
        <color indexed="64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/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/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/>
      <diagonal/>
    </border>
    <border>
      <left style="dotted">
        <color indexed="55"/>
      </left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/>
      <bottom style="medium">
        <color indexed="64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/>
      <diagonal/>
    </border>
    <border>
      <left style="dotted">
        <color indexed="55"/>
      </left>
      <right/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theme="5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medium">
        <color indexed="64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/>
      <top style="thin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medium">
        <color indexed="64"/>
      </bottom>
      <diagonal/>
    </border>
    <border>
      <left/>
      <right/>
      <top style="thin">
        <color theme="1" tint="0.499984740745262"/>
      </top>
      <bottom style="medium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/>
      <top style="medium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medium">
        <color indexed="64"/>
      </top>
      <bottom style="thin">
        <color theme="1" tint="0.499984740745262"/>
      </bottom>
      <diagonal/>
    </border>
    <border>
      <left/>
      <right/>
      <top style="medium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/>
      <diagonal/>
    </border>
    <border>
      <left/>
      <right style="thin">
        <color theme="1" tint="0.499984740745262"/>
      </right>
      <top style="medium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55"/>
      </left>
      <right/>
      <top/>
      <bottom/>
      <diagonal/>
    </border>
    <border>
      <left/>
      <right style="dotted">
        <color indexed="55"/>
      </right>
      <top/>
      <bottom/>
      <diagonal/>
    </border>
    <border>
      <left/>
      <right style="dotted">
        <color indexed="55"/>
      </right>
      <top/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285">
    <xf numFmtId="0" fontId="0" fillId="0" borderId="0" xfId="0"/>
    <xf numFmtId="0" fontId="0" fillId="0" borderId="0" xfId="0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1" fillId="6" borderId="5" xfId="0" applyFont="1" applyFill="1" applyBorder="1"/>
    <xf numFmtId="0" fontId="1" fillId="6" borderId="6" xfId="0" applyFont="1" applyFill="1" applyBorder="1"/>
    <xf numFmtId="0" fontId="0" fillId="6" borderId="0" xfId="0" applyFill="1" applyAlignment="1">
      <alignment vertical="center"/>
    </xf>
    <xf numFmtId="0" fontId="7" fillId="6" borderId="0" xfId="0" applyFont="1" applyFill="1" applyAlignment="1">
      <alignment horizontal="center" vertical="center"/>
    </xf>
    <xf numFmtId="0" fontId="5" fillId="6" borderId="0" xfId="0" applyFont="1" applyFill="1"/>
    <xf numFmtId="0" fontId="8" fillId="6" borderId="0" xfId="0" applyFont="1" applyFill="1" applyAlignment="1">
      <alignment vertical="center"/>
    </xf>
    <xf numFmtId="0" fontId="9" fillId="6" borderId="0" xfId="0" applyFont="1" applyFill="1" applyAlignment="1">
      <alignment vertical="top" wrapText="1"/>
    </xf>
    <xf numFmtId="0" fontId="10" fillId="6" borderId="1" xfId="0" applyFont="1" applyFill="1" applyBorder="1" applyAlignment="1">
      <alignment horizontal="center" vertical="center"/>
    </xf>
    <xf numFmtId="0" fontId="12" fillId="6" borderId="0" xfId="0" applyFont="1" applyFill="1"/>
    <xf numFmtId="0" fontId="13" fillId="6" borderId="0" xfId="0" applyFont="1" applyFill="1" applyAlignment="1">
      <alignment horizontal="center" vertical="center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14" fillId="6" borderId="0" xfId="0" applyFont="1" applyFill="1" applyAlignment="1">
      <alignment horizontal="left"/>
    </xf>
    <xf numFmtId="0" fontId="14" fillId="6" borderId="0" xfId="0" applyFont="1" applyFill="1" applyAlignment="1">
      <alignment horizontal="center" vertical="center"/>
    </xf>
    <xf numFmtId="0" fontId="14" fillId="6" borderId="0" xfId="0" applyFont="1" applyFill="1"/>
    <xf numFmtId="0" fontId="13" fillId="6" borderId="0" xfId="0" applyFont="1" applyFill="1" applyAlignment="1">
      <alignment horizontal="center"/>
    </xf>
    <xf numFmtId="0" fontId="15" fillId="6" borderId="0" xfId="0" applyFont="1" applyFill="1" applyAlignment="1">
      <alignment horizontal="center"/>
    </xf>
    <xf numFmtId="0" fontId="0" fillId="7" borderId="0" xfId="0" applyFill="1" applyAlignment="1">
      <alignment horizontal="center" vertical="center"/>
    </xf>
    <xf numFmtId="0" fontId="1" fillId="6" borderId="0" xfId="0" applyFont="1" applyFill="1" applyAlignment="1">
      <alignment horizontal="center"/>
    </xf>
    <xf numFmtId="0" fontId="19" fillId="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0" xfId="0" applyFont="1" applyFill="1"/>
    <xf numFmtId="0" fontId="21" fillId="6" borderId="0" xfId="0" applyFont="1" applyFill="1" applyAlignment="1">
      <alignment horizontal="right"/>
    </xf>
    <xf numFmtId="0" fontId="22" fillId="8" borderId="10" xfId="0" applyFont="1" applyFill="1" applyBorder="1" applyAlignment="1">
      <alignment horizontal="center"/>
    </xf>
    <xf numFmtId="0" fontId="22" fillId="6" borderId="0" xfId="0" applyFont="1" applyFill="1" applyAlignment="1">
      <alignment horizontal="center"/>
    </xf>
    <xf numFmtId="0" fontId="23" fillId="6" borderId="0" xfId="0" applyFont="1" applyFill="1"/>
    <xf numFmtId="0" fontId="20" fillId="6" borderId="5" xfId="0" applyFont="1" applyFill="1" applyBorder="1"/>
    <xf numFmtId="0" fontId="20" fillId="6" borderId="6" xfId="0" applyFont="1" applyFill="1" applyBorder="1"/>
    <xf numFmtId="0" fontId="22" fillId="8" borderId="13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26" fillId="6" borderId="0" xfId="0" applyFont="1" applyFill="1"/>
    <xf numFmtId="0" fontId="25" fillId="6" borderId="0" xfId="0" applyFont="1" applyFill="1"/>
    <xf numFmtId="0" fontId="27" fillId="6" borderId="10" xfId="0" applyFont="1" applyFill="1" applyBorder="1" applyAlignment="1">
      <alignment horizontal="left" indent="1"/>
    </xf>
    <xf numFmtId="0" fontId="27" fillId="6" borderId="10" xfId="0" applyFont="1" applyFill="1" applyBorder="1" applyAlignment="1">
      <alignment horizontal="right" indent="1" shrinkToFit="1"/>
    </xf>
    <xf numFmtId="0" fontId="28" fillId="6" borderId="0" xfId="0" applyFont="1" applyFill="1" applyAlignment="1">
      <alignment horizontal="left" indent="1"/>
    </xf>
    <xf numFmtId="0" fontId="28" fillId="6" borderId="0" xfId="0" applyFont="1" applyFill="1" applyAlignment="1">
      <alignment horizontal="right" indent="1" shrinkToFit="1"/>
    </xf>
    <xf numFmtId="0" fontId="27" fillId="6" borderId="10" xfId="0" applyFont="1" applyFill="1" applyBorder="1" applyAlignment="1">
      <alignment horizontal="left" indent="1" shrinkToFit="1"/>
    </xf>
    <xf numFmtId="0" fontId="29" fillId="6" borderId="10" xfId="0" applyFont="1" applyFill="1" applyBorder="1" applyAlignment="1">
      <alignment horizontal="left" indent="1"/>
    </xf>
    <xf numFmtId="0" fontId="27" fillId="6" borderId="0" xfId="0" applyFont="1" applyFill="1"/>
    <xf numFmtId="0" fontId="31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/>
    </xf>
    <xf numFmtId="0" fontId="35" fillId="6" borderId="0" xfId="0" applyFont="1" applyFill="1" applyAlignment="1">
      <alignment horizontal="center"/>
    </xf>
    <xf numFmtId="0" fontId="35" fillId="6" borderId="10" xfId="0" applyFont="1" applyFill="1" applyBorder="1" applyAlignment="1">
      <alignment horizontal="center" vertical="center" shrinkToFit="1"/>
    </xf>
    <xf numFmtId="0" fontId="34" fillId="6" borderId="4" xfId="0" applyFont="1" applyFill="1" applyBorder="1" applyAlignment="1">
      <alignment horizontal="right"/>
    </xf>
    <xf numFmtId="0" fontId="35" fillId="6" borderId="11" xfId="0" applyFont="1" applyFill="1" applyBorder="1" applyAlignment="1">
      <alignment horizontal="center" vertical="center" shrinkToFit="1"/>
    </xf>
    <xf numFmtId="0" fontId="35" fillId="6" borderId="4" xfId="0" applyFont="1" applyFill="1" applyBorder="1" applyAlignment="1">
      <alignment horizontal="center"/>
    </xf>
    <xf numFmtId="0" fontId="35" fillId="6" borderId="6" xfId="0" applyFont="1" applyFill="1" applyBorder="1" applyAlignment="1">
      <alignment horizontal="center"/>
    </xf>
    <xf numFmtId="0" fontId="35" fillId="6" borderId="3" xfId="0" applyFont="1" applyFill="1" applyBorder="1" applyAlignment="1">
      <alignment horizontal="center"/>
    </xf>
    <xf numFmtId="0" fontId="36" fillId="6" borderId="0" xfId="0" applyFont="1" applyFill="1" applyAlignment="1">
      <alignment horizontal="center"/>
    </xf>
    <xf numFmtId="0" fontId="37" fillId="6" borderId="0" xfId="0" applyFont="1" applyFill="1" applyAlignment="1">
      <alignment horizontal="center"/>
    </xf>
    <xf numFmtId="0" fontId="38" fillId="6" borderId="0" xfId="0" applyFont="1" applyFill="1" applyAlignment="1">
      <alignment horizontal="center"/>
    </xf>
    <xf numFmtId="0" fontId="35" fillId="6" borderId="2" xfId="0" applyFont="1" applyFill="1" applyBorder="1" applyAlignment="1">
      <alignment horizontal="center"/>
    </xf>
    <xf numFmtId="0" fontId="35" fillId="6" borderId="5" xfId="0" applyFont="1" applyFill="1" applyBorder="1" applyAlignment="1">
      <alignment horizontal="center"/>
    </xf>
    <xf numFmtId="0" fontId="35" fillId="6" borderId="0" xfId="0" applyFont="1" applyFill="1"/>
    <xf numFmtId="0" fontId="35" fillId="6" borderId="10" xfId="0" applyFont="1" applyFill="1" applyBorder="1" applyAlignment="1">
      <alignment horizontal="center" shrinkToFit="1"/>
    </xf>
    <xf numFmtId="0" fontId="35" fillId="6" borderId="12" xfId="0" applyFont="1" applyFill="1" applyBorder="1" applyAlignment="1">
      <alignment horizontal="center" shrinkToFit="1"/>
    </xf>
    <xf numFmtId="0" fontId="30" fillId="7" borderId="0" xfId="0" applyFont="1" applyFill="1" applyAlignment="1">
      <alignment horizontal="center" vertical="center"/>
    </xf>
    <xf numFmtId="0" fontId="39" fillId="7" borderId="0" xfId="0" applyFont="1" applyFill="1" applyAlignment="1">
      <alignment horizontal="center" vertical="center"/>
    </xf>
    <xf numFmtId="0" fontId="40" fillId="7" borderId="0" xfId="0" applyFont="1" applyFill="1" applyAlignment="1">
      <alignment horizontal="center" vertical="center"/>
    </xf>
    <xf numFmtId="0" fontId="41" fillId="6" borderId="0" xfId="0" applyFont="1" applyFill="1"/>
    <xf numFmtId="0" fontId="42" fillId="6" borderId="0" xfId="0" applyFont="1" applyFill="1" applyAlignment="1">
      <alignment vertical="center"/>
    </xf>
    <xf numFmtId="0" fontId="43" fillId="6" borderId="0" xfId="0" applyFont="1" applyFill="1" applyAlignment="1">
      <alignment horizontal="center" vertical="center"/>
    </xf>
    <xf numFmtId="0" fontId="50" fillId="0" borderId="0" xfId="0" applyFont="1"/>
    <xf numFmtId="0" fontId="46" fillId="7" borderId="46" xfId="0" applyFont="1" applyFill="1" applyBorder="1" applyAlignment="1">
      <alignment horizontal="center" vertical="center"/>
    </xf>
    <xf numFmtId="0" fontId="46" fillId="7" borderId="47" xfId="0" applyFont="1" applyFill="1" applyBorder="1" applyAlignment="1">
      <alignment horizontal="center" vertical="center"/>
    </xf>
    <xf numFmtId="0" fontId="26" fillId="6" borderId="0" xfId="0" applyFont="1" applyFill="1" applyAlignment="1">
      <alignment horizontal="center"/>
    </xf>
    <xf numFmtId="0" fontId="27" fillId="6" borderId="10" xfId="0" applyFont="1" applyFill="1" applyBorder="1" applyAlignment="1">
      <alignment horizontal="center"/>
    </xf>
    <xf numFmtId="0" fontId="28" fillId="6" borderId="0" xfId="0" applyFont="1" applyFill="1" applyAlignment="1">
      <alignment horizontal="center"/>
    </xf>
    <xf numFmtId="0" fontId="27" fillId="6" borderId="0" xfId="0" applyFont="1" applyFill="1" applyAlignment="1">
      <alignment horizontal="center"/>
    </xf>
    <xf numFmtId="0" fontId="25" fillId="6" borderId="0" xfId="0" applyFont="1" applyFill="1" applyAlignment="1">
      <alignment horizontal="center"/>
    </xf>
    <xf numFmtId="0" fontId="36" fillId="6" borderId="0" xfId="0" applyFont="1" applyFill="1" applyAlignment="1">
      <alignment horizontal="center" vertical="center"/>
    </xf>
    <xf numFmtId="0" fontId="20" fillId="6" borderId="0" xfId="0" applyFont="1" applyFill="1" applyAlignment="1">
      <alignment vertical="center"/>
    </xf>
    <xf numFmtId="0" fontId="37" fillId="6" borderId="0" xfId="0" applyFont="1" applyFill="1" applyAlignment="1">
      <alignment horizontal="center" vertical="center"/>
    </xf>
    <xf numFmtId="0" fontId="38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 vertical="center"/>
    </xf>
    <xf numFmtId="0" fontId="35" fillId="6" borderId="0" xfId="0" applyFont="1" applyFill="1" applyAlignment="1">
      <alignment horizontal="center" vertical="center"/>
    </xf>
    <xf numFmtId="0" fontId="44" fillId="6" borderId="0" xfId="0" applyFont="1" applyFill="1" applyAlignment="1">
      <alignment horizontal="center" vertical="center"/>
    </xf>
    <xf numFmtId="0" fontId="48" fillId="6" borderId="0" xfId="0" applyFont="1" applyFill="1" applyAlignment="1">
      <alignment horizontal="center" vertical="center"/>
    </xf>
    <xf numFmtId="0" fontId="48" fillId="5" borderId="1" xfId="0" applyFont="1" applyFill="1" applyBorder="1" applyAlignment="1">
      <alignment horizontal="center" vertical="center" shrinkToFit="1"/>
    </xf>
    <xf numFmtId="0" fontId="48" fillId="3" borderId="1" xfId="0" applyFont="1" applyFill="1" applyBorder="1" applyAlignment="1">
      <alignment horizontal="center" vertical="center" shrinkToFit="1"/>
    </xf>
    <xf numFmtId="0" fontId="48" fillId="5" borderId="30" xfId="0" applyFont="1" applyFill="1" applyBorder="1" applyAlignment="1">
      <alignment horizontal="center" vertical="center" shrinkToFit="1"/>
    </xf>
    <xf numFmtId="0" fontId="16" fillId="0" borderId="0" xfId="0" applyFont="1" applyAlignment="1">
      <alignment vertical="center"/>
    </xf>
    <xf numFmtId="0" fontId="45" fillId="6" borderId="0" xfId="0" applyFont="1" applyFill="1" applyAlignment="1">
      <alignment horizontal="left" vertical="center"/>
    </xf>
    <xf numFmtId="0" fontId="44" fillId="6" borderId="0" xfId="0" applyFont="1" applyFill="1" applyAlignment="1">
      <alignment vertical="center"/>
    </xf>
    <xf numFmtId="0" fontId="44" fillId="6" borderId="0" xfId="0" applyFont="1" applyFill="1" applyAlignment="1">
      <alignment horizontal="right" vertical="center"/>
    </xf>
    <xf numFmtId="0" fontId="16" fillId="6" borderId="0" xfId="0" applyFont="1" applyFill="1" applyAlignment="1">
      <alignment vertical="center"/>
    </xf>
    <xf numFmtId="0" fontId="44" fillId="6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48" fillId="5" borderId="48" xfId="0" applyFont="1" applyFill="1" applyBorder="1" applyAlignment="1">
      <alignment horizontal="center" vertical="center"/>
    </xf>
    <xf numFmtId="0" fontId="48" fillId="5" borderId="49" xfId="0" applyFont="1" applyFill="1" applyBorder="1" applyAlignment="1">
      <alignment horizontal="center" vertical="center"/>
    </xf>
    <xf numFmtId="0" fontId="48" fillId="5" borderId="50" xfId="0" applyFont="1" applyFill="1" applyBorder="1" applyAlignment="1">
      <alignment horizontal="right" vertical="center" shrinkToFit="1"/>
    </xf>
    <xf numFmtId="0" fontId="48" fillId="5" borderId="52" xfId="0" applyFont="1" applyFill="1" applyBorder="1" applyAlignment="1">
      <alignment horizontal="left" vertical="center" shrinkToFit="1"/>
    </xf>
    <xf numFmtId="0" fontId="48" fillId="5" borderId="51" xfId="0" applyFont="1" applyFill="1" applyBorder="1" applyAlignment="1">
      <alignment horizontal="center" vertical="center" shrinkToFit="1"/>
    </xf>
    <xf numFmtId="0" fontId="48" fillId="5" borderId="53" xfId="0" applyFont="1" applyFill="1" applyBorder="1" applyAlignment="1">
      <alignment horizontal="center" vertical="center" shrinkToFit="1"/>
    </xf>
    <xf numFmtId="0" fontId="49" fillId="6" borderId="0" xfId="0" applyFont="1" applyFill="1" applyAlignment="1">
      <alignment vertical="center"/>
    </xf>
    <xf numFmtId="0" fontId="48" fillId="5" borderId="37" xfId="0" applyFont="1" applyFill="1" applyBorder="1" applyAlignment="1">
      <alignment horizontal="center" vertical="center"/>
    </xf>
    <xf numFmtId="0" fontId="48" fillId="5" borderId="32" xfId="0" applyFont="1" applyFill="1" applyBorder="1" applyAlignment="1">
      <alignment horizontal="center" vertical="center"/>
    </xf>
    <xf numFmtId="0" fontId="48" fillId="5" borderId="22" xfId="0" applyFont="1" applyFill="1" applyBorder="1" applyAlignment="1">
      <alignment horizontal="right" vertical="center" shrinkToFit="1"/>
    </xf>
    <xf numFmtId="0" fontId="48" fillId="5" borderId="23" xfId="0" applyFont="1" applyFill="1" applyBorder="1" applyAlignment="1">
      <alignment horizontal="left" vertical="center" shrinkToFit="1"/>
    </xf>
    <xf numFmtId="0" fontId="48" fillId="5" borderId="21" xfId="0" applyFont="1" applyFill="1" applyBorder="1" applyAlignment="1">
      <alignment horizontal="center" vertical="center" shrinkToFit="1"/>
    </xf>
    <xf numFmtId="0" fontId="48" fillId="5" borderId="40" xfId="0" applyFont="1" applyFill="1" applyBorder="1" applyAlignment="1">
      <alignment horizontal="center" vertical="center"/>
    </xf>
    <xf numFmtId="0" fontId="48" fillId="5" borderId="41" xfId="0" applyFont="1" applyFill="1" applyBorder="1" applyAlignment="1">
      <alignment horizontal="center" vertical="center"/>
    </xf>
    <xf numFmtId="0" fontId="48" fillId="5" borderId="42" xfId="0" applyFont="1" applyFill="1" applyBorder="1" applyAlignment="1">
      <alignment horizontal="right" vertical="center" shrinkToFit="1"/>
    </xf>
    <xf numFmtId="0" fontId="48" fillId="5" borderId="44" xfId="0" applyFont="1" applyFill="1" applyBorder="1" applyAlignment="1">
      <alignment horizontal="left" vertical="center" shrinkToFit="1"/>
    </xf>
    <xf numFmtId="0" fontId="48" fillId="5" borderId="43" xfId="0" applyFont="1" applyFill="1" applyBorder="1" applyAlignment="1">
      <alignment horizontal="center" vertical="center" shrinkToFit="1"/>
    </xf>
    <xf numFmtId="0" fontId="48" fillId="5" borderId="45" xfId="0" applyFont="1" applyFill="1" applyBorder="1" applyAlignment="1">
      <alignment horizontal="center" vertical="center" shrinkToFit="1"/>
    </xf>
    <xf numFmtId="0" fontId="48" fillId="3" borderId="39" xfId="0" applyFont="1" applyFill="1" applyBorder="1" applyAlignment="1">
      <alignment horizontal="center" vertical="center"/>
    </xf>
    <xf numFmtId="0" fontId="48" fillId="3" borderId="31" xfId="0" applyFont="1" applyFill="1" applyBorder="1" applyAlignment="1">
      <alignment horizontal="center" vertical="center"/>
    </xf>
    <xf numFmtId="0" fontId="48" fillId="3" borderId="56" xfId="0" applyFont="1" applyFill="1" applyBorder="1" applyAlignment="1">
      <alignment horizontal="right" vertical="center" shrinkToFit="1"/>
    </xf>
    <xf numFmtId="0" fontId="48" fillId="3" borderId="57" xfId="0" applyFont="1" applyFill="1" applyBorder="1" applyAlignment="1">
      <alignment horizontal="left" vertical="center" shrinkToFit="1"/>
    </xf>
    <xf numFmtId="0" fontId="48" fillId="3" borderId="20" xfId="0" applyFont="1" applyFill="1" applyBorder="1" applyAlignment="1">
      <alignment horizontal="center" vertical="center" shrinkToFit="1"/>
    </xf>
    <xf numFmtId="0" fontId="48" fillId="3" borderId="30" xfId="0" applyFont="1" applyFill="1" applyBorder="1" applyAlignment="1">
      <alignment horizontal="center" vertical="center" shrinkToFit="1"/>
    </xf>
    <xf numFmtId="0" fontId="48" fillId="3" borderId="37" xfId="0" applyFont="1" applyFill="1" applyBorder="1" applyAlignment="1">
      <alignment horizontal="center" vertical="center"/>
    </xf>
    <xf numFmtId="0" fontId="48" fillId="3" borderId="32" xfId="0" applyFont="1" applyFill="1" applyBorder="1" applyAlignment="1">
      <alignment horizontal="center" vertical="center"/>
    </xf>
    <xf numFmtId="0" fontId="48" fillId="3" borderId="22" xfId="0" applyFont="1" applyFill="1" applyBorder="1" applyAlignment="1">
      <alignment horizontal="right" vertical="center" shrinkToFit="1"/>
    </xf>
    <xf numFmtId="0" fontId="48" fillId="3" borderId="23" xfId="0" applyFont="1" applyFill="1" applyBorder="1" applyAlignment="1">
      <alignment horizontal="left" vertical="center" shrinkToFit="1"/>
    </xf>
    <xf numFmtId="0" fontId="48" fillId="3" borderId="21" xfId="0" applyFont="1" applyFill="1" applyBorder="1" applyAlignment="1">
      <alignment horizontal="center" vertical="center" shrinkToFit="1"/>
    </xf>
    <xf numFmtId="0" fontId="48" fillId="3" borderId="38" xfId="0" applyFont="1" applyFill="1" applyBorder="1" applyAlignment="1">
      <alignment horizontal="center" vertical="center"/>
    </xf>
    <xf numFmtId="0" fontId="48" fillId="3" borderId="33" xfId="0" applyFont="1" applyFill="1" applyBorder="1" applyAlignment="1">
      <alignment horizontal="center" vertical="center"/>
    </xf>
    <xf numFmtId="0" fontId="48" fillId="3" borderId="25" xfId="0" applyFont="1" applyFill="1" applyBorder="1" applyAlignment="1">
      <alignment horizontal="right" vertical="center" shrinkToFit="1"/>
    </xf>
    <xf numFmtId="0" fontId="48" fillId="3" borderId="26" xfId="0" applyFont="1" applyFill="1" applyBorder="1" applyAlignment="1">
      <alignment horizontal="left" vertical="center" shrinkToFit="1"/>
    </xf>
    <xf numFmtId="0" fontId="48" fillId="3" borderId="24" xfId="0" applyFont="1" applyFill="1" applyBorder="1" applyAlignment="1">
      <alignment horizontal="center" vertical="center" shrinkToFit="1"/>
    </xf>
    <xf numFmtId="0" fontId="48" fillId="3" borderId="27" xfId="0" applyFont="1" applyFill="1" applyBorder="1" applyAlignment="1">
      <alignment horizontal="center" vertical="center" shrinkToFit="1"/>
    </xf>
    <xf numFmtId="0" fontId="48" fillId="3" borderId="28" xfId="0" applyFont="1" applyFill="1" applyBorder="1" applyAlignment="1">
      <alignment horizontal="right" vertical="center" shrinkToFit="1"/>
    </xf>
    <xf numFmtId="0" fontId="48" fillId="3" borderId="29" xfId="0" applyFont="1" applyFill="1" applyBorder="1" applyAlignment="1">
      <alignment horizontal="left" vertical="center" shrinkToFit="1"/>
    </xf>
    <xf numFmtId="0" fontId="48" fillId="5" borderId="39" xfId="0" applyFont="1" applyFill="1" applyBorder="1" applyAlignment="1">
      <alignment horizontal="center" vertical="center"/>
    </xf>
    <xf numFmtId="0" fontId="48" fillId="5" borderId="31" xfId="0" applyFont="1" applyFill="1" applyBorder="1" applyAlignment="1">
      <alignment horizontal="center" vertical="center"/>
    </xf>
    <xf numFmtId="0" fontId="48" fillId="5" borderId="28" xfId="0" applyFont="1" applyFill="1" applyBorder="1" applyAlignment="1">
      <alignment horizontal="right" vertical="center" shrinkToFit="1"/>
    </xf>
    <xf numFmtId="0" fontId="48" fillId="5" borderId="29" xfId="0" applyFont="1" applyFill="1" applyBorder="1" applyAlignment="1">
      <alignment horizontal="left" vertical="center" shrinkToFit="1"/>
    </xf>
    <xf numFmtId="0" fontId="48" fillId="5" borderId="20" xfId="0" applyFont="1" applyFill="1" applyBorder="1" applyAlignment="1">
      <alignment horizontal="center" vertical="center" shrinkToFit="1"/>
    </xf>
    <xf numFmtId="0" fontId="48" fillId="5" borderId="38" xfId="0" applyFont="1" applyFill="1" applyBorder="1" applyAlignment="1">
      <alignment horizontal="center" vertical="center"/>
    </xf>
    <xf numFmtId="0" fontId="48" fillId="5" borderId="33" xfId="0" applyFont="1" applyFill="1" applyBorder="1" applyAlignment="1">
      <alignment horizontal="center" vertical="center"/>
    </xf>
    <xf numFmtId="0" fontId="48" fillId="5" borderId="25" xfId="0" applyFont="1" applyFill="1" applyBorder="1" applyAlignment="1">
      <alignment horizontal="right" vertical="center" shrinkToFit="1"/>
    </xf>
    <xf numFmtId="0" fontId="48" fillId="5" borderId="26" xfId="0" applyFont="1" applyFill="1" applyBorder="1" applyAlignment="1">
      <alignment horizontal="left" vertical="center" shrinkToFit="1"/>
    </xf>
    <xf numFmtId="0" fontId="48" fillId="5" borderId="24" xfId="0" applyFont="1" applyFill="1" applyBorder="1" applyAlignment="1">
      <alignment horizontal="center" vertical="center" shrinkToFit="1"/>
    </xf>
    <xf numFmtId="0" fontId="48" fillId="5" borderId="27" xfId="0" applyFont="1" applyFill="1" applyBorder="1" applyAlignment="1">
      <alignment horizontal="center" vertical="center" shrinkToFit="1"/>
    </xf>
    <xf numFmtId="0" fontId="48" fillId="3" borderId="48" xfId="0" applyFont="1" applyFill="1" applyBorder="1" applyAlignment="1">
      <alignment horizontal="center" vertical="center"/>
    </xf>
    <xf numFmtId="0" fontId="48" fillId="3" borderId="49" xfId="0" applyFont="1" applyFill="1" applyBorder="1" applyAlignment="1">
      <alignment horizontal="center" vertical="center"/>
    </xf>
    <xf numFmtId="0" fontId="48" fillId="3" borderId="50" xfId="0" applyFont="1" applyFill="1" applyBorder="1" applyAlignment="1">
      <alignment horizontal="right" vertical="center" shrinkToFit="1"/>
    </xf>
    <xf numFmtId="0" fontId="48" fillId="3" borderId="52" xfId="0" applyFont="1" applyFill="1" applyBorder="1" applyAlignment="1">
      <alignment horizontal="left" vertical="center" shrinkToFit="1"/>
    </xf>
    <xf numFmtId="0" fontId="48" fillId="3" borderId="51" xfId="0" applyFont="1" applyFill="1" applyBorder="1" applyAlignment="1">
      <alignment horizontal="center" vertical="center" shrinkToFit="1"/>
    </xf>
    <xf numFmtId="0" fontId="48" fillId="3" borderId="53" xfId="0" applyFont="1" applyFill="1" applyBorder="1" applyAlignment="1">
      <alignment horizontal="center" vertical="center" shrinkToFit="1"/>
    </xf>
    <xf numFmtId="0" fontId="48" fillId="3" borderId="40" xfId="0" applyFont="1" applyFill="1" applyBorder="1" applyAlignment="1">
      <alignment horizontal="center" vertical="center"/>
    </xf>
    <xf numFmtId="0" fontId="48" fillId="3" borderId="41" xfId="0" applyFont="1" applyFill="1" applyBorder="1" applyAlignment="1">
      <alignment horizontal="center" vertical="center"/>
    </xf>
    <xf numFmtId="0" fontId="48" fillId="3" borderId="42" xfId="0" applyFont="1" applyFill="1" applyBorder="1" applyAlignment="1">
      <alignment horizontal="right" vertical="center" shrinkToFit="1"/>
    </xf>
    <xf numFmtId="0" fontId="48" fillId="3" borderId="44" xfId="0" applyFont="1" applyFill="1" applyBorder="1" applyAlignment="1">
      <alignment horizontal="left" vertical="center" shrinkToFit="1"/>
    </xf>
    <xf numFmtId="0" fontId="48" fillId="3" borderId="43" xfId="0" applyFont="1" applyFill="1" applyBorder="1" applyAlignment="1">
      <alignment horizontal="center" vertical="center" shrinkToFit="1"/>
    </xf>
    <xf numFmtId="0" fontId="48" fillId="3" borderId="45" xfId="0" applyFont="1" applyFill="1" applyBorder="1" applyAlignment="1">
      <alignment horizontal="center" vertical="center" shrinkToFit="1"/>
    </xf>
    <xf numFmtId="0" fontId="0" fillId="4" borderId="0" xfId="0" applyFill="1" applyAlignment="1">
      <alignment vertical="center"/>
    </xf>
    <xf numFmtId="0" fontId="48" fillId="5" borderId="58" xfId="0" applyFont="1" applyFill="1" applyBorder="1" applyAlignment="1">
      <alignment horizontal="center" vertical="center"/>
    </xf>
    <xf numFmtId="0" fontId="48" fillId="5" borderId="59" xfId="0" applyFont="1" applyFill="1" applyBorder="1" applyAlignment="1">
      <alignment horizontal="center" vertical="center"/>
    </xf>
    <xf numFmtId="0" fontId="48" fillId="5" borderId="60" xfId="0" applyFont="1" applyFill="1" applyBorder="1" applyAlignment="1">
      <alignment horizontal="right" vertical="center" shrinkToFit="1"/>
    </xf>
    <xf numFmtId="0" fontId="48" fillId="5" borderId="61" xfId="0" applyFont="1" applyFill="1" applyBorder="1" applyAlignment="1">
      <alignment horizontal="left" vertical="center" shrinkToFit="1"/>
    </xf>
    <xf numFmtId="0" fontId="48" fillId="5" borderId="47" xfId="0" applyFont="1" applyFill="1" applyBorder="1" applyAlignment="1">
      <alignment horizontal="center" vertical="center" shrinkToFit="1"/>
    </xf>
    <xf numFmtId="0" fontId="48" fillId="5" borderId="62" xfId="0" applyFont="1" applyFill="1" applyBorder="1" applyAlignment="1">
      <alignment horizontal="center" vertical="center" shrinkToFit="1"/>
    </xf>
    <xf numFmtId="0" fontId="48" fillId="3" borderId="58" xfId="0" applyFont="1" applyFill="1" applyBorder="1" applyAlignment="1">
      <alignment horizontal="center" vertical="center"/>
    </xf>
    <xf numFmtId="0" fontId="48" fillId="3" borderId="59" xfId="0" applyFont="1" applyFill="1" applyBorder="1" applyAlignment="1">
      <alignment horizontal="center" vertical="center"/>
    </xf>
    <xf numFmtId="0" fontId="48" fillId="3" borderId="60" xfId="0" applyFont="1" applyFill="1" applyBorder="1" applyAlignment="1">
      <alignment horizontal="right" vertical="center" shrinkToFit="1"/>
    </xf>
    <xf numFmtId="0" fontId="48" fillId="3" borderId="61" xfId="0" applyFont="1" applyFill="1" applyBorder="1" applyAlignment="1">
      <alignment horizontal="left" vertical="center" shrinkToFit="1"/>
    </xf>
    <xf numFmtId="0" fontId="48" fillId="3" borderId="47" xfId="0" applyFont="1" applyFill="1" applyBorder="1" applyAlignment="1">
      <alignment horizontal="center" vertical="center" shrinkToFit="1"/>
    </xf>
    <xf numFmtId="0" fontId="48" fillId="3" borderId="62" xfId="0" applyFont="1" applyFill="1" applyBorder="1" applyAlignment="1">
      <alignment horizontal="center" vertical="center" shrinkToFit="1"/>
    </xf>
    <xf numFmtId="0" fontId="48" fillId="5" borderId="66" xfId="0" applyFont="1" applyFill="1" applyBorder="1" applyAlignment="1">
      <alignment horizontal="center" vertical="center"/>
    </xf>
    <xf numFmtId="0" fontId="48" fillId="5" borderId="36" xfId="0" applyFont="1" applyFill="1" applyBorder="1" applyAlignment="1">
      <alignment horizontal="center" vertical="center"/>
    </xf>
    <xf numFmtId="0" fontId="48" fillId="5" borderId="54" xfId="0" applyFont="1" applyFill="1" applyBorder="1" applyAlignment="1">
      <alignment horizontal="right" vertical="center" shrinkToFit="1"/>
    </xf>
    <xf numFmtId="0" fontId="48" fillId="5" borderId="55" xfId="0" applyFont="1" applyFill="1" applyBorder="1" applyAlignment="1">
      <alignment horizontal="left" vertical="center" shrinkToFit="1"/>
    </xf>
    <xf numFmtId="0" fontId="48" fillId="5" borderId="3" xfId="0" applyFont="1" applyFill="1" applyBorder="1" applyAlignment="1">
      <alignment horizontal="center" vertical="center" shrinkToFit="1"/>
    </xf>
    <xf numFmtId="0" fontId="48" fillId="5" borderId="67" xfId="0" applyFont="1" applyFill="1" applyBorder="1" applyAlignment="1">
      <alignment horizontal="center" vertical="center" shrinkToFit="1"/>
    </xf>
    <xf numFmtId="0" fontId="0" fillId="2" borderId="0" xfId="0" applyFill="1" applyAlignment="1">
      <alignment vertical="center"/>
    </xf>
    <xf numFmtId="0" fontId="48" fillId="6" borderId="0" xfId="0" applyFont="1" applyFill="1" applyAlignment="1">
      <alignment horizontal="left" vertical="center"/>
    </xf>
    <xf numFmtId="0" fontId="48" fillId="6" borderId="0" xfId="0" applyFont="1" applyFill="1" applyAlignment="1">
      <alignment vertical="center"/>
    </xf>
    <xf numFmtId="0" fontId="48" fillId="6" borderId="0" xfId="0" applyFont="1" applyFill="1" applyAlignment="1">
      <alignment horizontal="right" vertical="center"/>
    </xf>
    <xf numFmtId="0" fontId="52" fillId="5" borderId="51" xfId="0" applyFont="1" applyFill="1" applyBorder="1" applyAlignment="1">
      <alignment horizontal="center" vertical="center"/>
    </xf>
    <xf numFmtId="0" fontId="52" fillId="5" borderId="21" xfId="0" applyFont="1" applyFill="1" applyBorder="1" applyAlignment="1">
      <alignment horizontal="center" vertical="center"/>
    </xf>
    <xf numFmtId="0" fontId="52" fillId="5" borderId="43" xfId="0" applyFont="1" applyFill="1" applyBorder="1" applyAlignment="1">
      <alignment horizontal="center" vertical="center"/>
    </xf>
    <xf numFmtId="0" fontId="52" fillId="3" borderId="0" xfId="0" applyFont="1" applyFill="1" applyAlignment="1">
      <alignment horizontal="center" vertical="center"/>
    </xf>
    <xf numFmtId="0" fontId="52" fillId="3" borderId="21" xfId="0" applyFont="1" applyFill="1" applyBorder="1" applyAlignment="1">
      <alignment horizontal="center" vertical="center"/>
    </xf>
    <xf numFmtId="0" fontId="52" fillId="3" borderId="24" xfId="0" applyFont="1" applyFill="1" applyBorder="1" applyAlignment="1">
      <alignment horizontal="center" vertical="center"/>
    </xf>
    <xf numFmtId="0" fontId="52" fillId="3" borderId="20" xfId="0" applyFont="1" applyFill="1" applyBorder="1" applyAlignment="1">
      <alignment horizontal="center" vertical="center"/>
    </xf>
    <xf numFmtId="0" fontId="52" fillId="5" borderId="20" xfId="0" applyFont="1" applyFill="1" applyBorder="1" applyAlignment="1">
      <alignment horizontal="center" vertical="center"/>
    </xf>
    <xf numFmtId="0" fontId="52" fillId="5" borderId="24" xfId="0" applyFont="1" applyFill="1" applyBorder="1" applyAlignment="1">
      <alignment horizontal="center" vertical="center"/>
    </xf>
    <xf numFmtId="0" fontId="52" fillId="3" borderId="51" xfId="0" applyFont="1" applyFill="1" applyBorder="1" applyAlignment="1">
      <alignment horizontal="center" vertical="center"/>
    </xf>
    <xf numFmtId="0" fontId="52" fillId="3" borderId="43" xfId="0" applyFont="1" applyFill="1" applyBorder="1" applyAlignment="1">
      <alignment horizontal="center" vertical="center"/>
    </xf>
    <xf numFmtId="0" fontId="52" fillId="5" borderId="47" xfId="0" applyFont="1" applyFill="1" applyBorder="1" applyAlignment="1">
      <alignment horizontal="center" vertical="center"/>
    </xf>
    <xf numFmtId="0" fontId="52" fillId="3" borderId="47" xfId="0" applyFont="1" applyFill="1" applyBorder="1" applyAlignment="1">
      <alignment horizontal="center" vertical="center"/>
    </xf>
    <xf numFmtId="0" fontId="52" fillId="5" borderId="3" xfId="0" applyFont="1" applyFill="1" applyBorder="1" applyAlignment="1">
      <alignment horizontal="center" vertical="center"/>
    </xf>
    <xf numFmtId="0" fontId="51" fillId="5" borderId="50" xfId="0" applyFont="1" applyFill="1" applyBorder="1" applyAlignment="1">
      <alignment horizontal="left" vertical="center" indent="1" shrinkToFit="1"/>
    </xf>
    <xf numFmtId="0" fontId="51" fillId="5" borderId="22" xfId="0" applyFont="1" applyFill="1" applyBorder="1" applyAlignment="1">
      <alignment horizontal="left" vertical="center" indent="1" shrinkToFit="1"/>
    </xf>
    <xf numFmtId="0" fontId="51" fillId="5" borderId="42" xfId="0" applyFont="1" applyFill="1" applyBorder="1" applyAlignment="1">
      <alignment horizontal="left" vertical="center" indent="1" shrinkToFit="1"/>
    </xf>
    <xf numFmtId="0" fontId="51" fillId="3" borderId="28" xfId="0" applyFont="1" applyFill="1" applyBorder="1" applyAlignment="1">
      <alignment horizontal="left" vertical="center" indent="1" shrinkToFit="1"/>
    </xf>
    <xf numFmtId="0" fontId="51" fillId="3" borderId="22" xfId="0" applyFont="1" applyFill="1" applyBorder="1" applyAlignment="1">
      <alignment horizontal="left" vertical="center" indent="1" shrinkToFit="1"/>
    </xf>
    <xf numFmtId="0" fontId="51" fillId="3" borderId="25" xfId="0" applyFont="1" applyFill="1" applyBorder="1" applyAlignment="1">
      <alignment horizontal="left" vertical="center" indent="1" shrinkToFit="1"/>
    </xf>
    <xf numFmtId="0" fontId="51" fillId="5" borderId="28" xfId="0" applyFont="1" applyFill="1" applyBorder="1" applyAlignment="1">
      <alignment horizontal="left" vertical="center" indent="1" shrinkToFit="1"/>
    </xf>
    <xf numFmtId="0" fontId="51" fillId="5" borderId="25" xfId="0" applyFont="1" applyFill="1" applyBorder="1" applyAlignment="1">
      <alignment horizontal="left" vertical="center" indent="1" shrinkToFit="1"/>
    </xf>
    <xf numFmtId="0" fontId="51" fillId="3" borderId="50" xfId="0" applyFont="1" applyFill="1" applyBorder="1" applyAlignment="1">
      <alignment horizontal="left" vertical="center" indent="1" shrinkToFit="1"/>
    </xf>
    <xf numFmtId="0" fontId="51" fillId="3" borderId="42" xfId="0" applyFont="1" applyFill="1" applyBorder="1" applyAlignment="1">
      <alignment horizontal="left" vertical="center" indent="1" shrinkToFit="1"/>
    </xf>
    <xf numFmtId="0" fontId="51" fillId="5" borderId="60" xfId="0" applyFont="1" applyFill="1" applyBorder="1" applyAlignment="1">
      <alignment horizontal="left" vertical="center" indent="1" shrinkToFit="1"/>
    </xf>
    <xf numFmtId="0" fontId="51" fillId="3" borderId="60" xfId="0" applyFont="1" applyFill="1" applyBorder="1" applyAlignment="1">
      <alignment horizontal="left" vertical="center" indent="1" shrinkToFit="1"/>
    </xf>
    <xf numFmtId="0" fontId="51" fillId="5" borderId="54" xfId="0" applyFont="1" applyFill="1" applyBorder="1" applyAlignment="1">
      <alignment horizontal="left" vertical="center" indent="1" shrinkToFit="1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37" fillId="6" borderId="0" xfId="0" applyFont="1" applyFill="1" applyAlignment="1">
      <alignment horizontal="center" shrinkToFit="1"/>
    </xf>
    <xf numFmtId="0" fontId="37" fillId="6" borderId="8" xfId="0" applyFont="1" applyFill="1" applyBorder="1" applyAlignment="1">
      <alignment horizontal="center" shrinkToFit="1"/>
    </xf>
    <xf numFmtId="0" fontId="20" fillId="6" borderId="2" xfId="0" applyFont="1" applyFill="1" applyBorder="1" applyAlignment="1">
      <alignment horizontal="center"/>
    </xf>
    <xf numFmtId="0" fontId="20" fillId="6" borderId="3" xfId="0" applyFont="1" applyFill="1" applyBorder="1" applyAlignment="1">
      <alignment horizontal="center"/>
    </xf>
    <xf numFmtId="0" fontId="20" fillId="6" borderId="4" xfId="0" applyFont="1" applyFill="1" applyBorder="1" applyAlignment="1">
      <alignment horizontal="center"/>
    </xf>
    <xf numFmtId="0" fontId="20" fillId="6" borderId="5" xfId="0" applyFont="1" applyFill="1" applyBorder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6" borderId="7" xfId="0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/>
    </xf>
    <xf numFmtId="0" fontId="20" fillId="6" borderId="9" xfId="0" applyFont="1" applyFill="1" applyBorder="1" applyAlignment="1">
      <alignment horizontal="center"/>
    </xf>
    <xf numFmtId="0" fontId="37" fillId="6" borderId="63" xfId="0" applyFont="1" applyFill="1" applyBorder="1" applyAlignment="1">
      <alignment horizontal="center" shrinkToFit="1"/>
    </xf>
    <xf numFmtId="0" fontId="37" fillId="6" borderId="34" xfId="0" applyFont="1" applyFill="1" applyBorder="1" applyAlignment="1">
      <alignment horizontal="center" shrinkToFit="1"/>
    </xf>
    <xf numFmtId="0" fontId="35" fillId="6" borderId="15" xfId="0" applyFont="1" applyFill="1" applyBorder="1" applyAlignment="1">
      <alignment horizontal="center" shrinkToFit="1"/>
    </xf>
    <xf numFmtId="0" fontId="35" fillId="6" borderId="16" xfId="0" applyFont="1" applyFill="1" applyBorder="1" applyAlignment="1">
      <alignment horizontal="center" shrinkToFit="1"/>
    </xf>
    <xf numFmtId="0" fontId="14" fillId="6" borderId="0" xfId="0" applyFont="1" applyFill="1" applyAlignment="1">
      <alignment horizontal="center"/>
    </xf>
    <xf numFmtId="0" fontId="33" fillId="6" borderId="64" xfId="0" applyFont="1" applyFill="1" applyBorder="1" applyAlignment="1">
      <alignment horizontal="center"/>
    </xf>
    <xf numFmtId="0" fontId="33" fillId="6" borderId="65" xfId="0" applyFont="1" applyFill="1" applyBorder="1" applyAlignment="1">
      <alignment horizontal="center"/>
    </xf>
    <xf numFmtId="0" fontId="35" fillId="6" borderId="17" xfId="0" applyFont="1" applyFill="1" applyBorder="1" applyAlignment="1">
      <alignment horizontal="center" shrinkToFit="1"/>
    </xf>
    <xf numFmtId="0" fontId="35" fillId="6" borderId="18" xfId="0" applyFont="1" applyFill="1" applyBorder="1" applyAlignment="1">
      <alignment horizontal="center" shrinkToFit="1"/>
    </xf>
    <xf numFmtId="0" fontId="9" fillId="6" borderId="0" xfId="0" applyFont="1" applyFill="1" applyAlignment="1">
      <alignment horizontal="left" vertical="top" wrapText="1"/>
    </xf>
    <xf numFmtId="0" fontId="35" fillId="6" borderId="14" xfId="0" applyFont="1" applyFill="1" applyBorder="1" applyAlignment="1">
      <alignment horizontal="center" shrinkToFit="1"/>
    </xf>
    <xf numFmtId="0" fontId="35" fillId="6" borderId="19" xfId="0" applyFont="1" applyFill="1" applyBorder="1" applyAlignment="1">
      <alignment horizontal="center" shrinkToFit="1"/>
    </xf>
    <xf numFmtId="0" fontId="33" fillId="6" borderId="0" xfId="0" applyFont="1" applyFill="1" applyAlignment="1">
      <alignment horizontal="center"/>
    </xf>
    <xf numFmtId="0" fontId="33" fillId="6" borderId="8" xfId="0" applyFont="1" applyFill="1" applyBorder="1" applyAlignment="1">
      <alignment horizontal="center"/>
    </xf>
    <xf numFmtId="0" fontId="14" fillId="6" borderId="0" xfId="0" applyFont="1" applyFill="1" applyAlignment="1">
      <alignment horizontal="center" vertical="center"/>
    </xf>
    <xf numFmtId="0" fontId="14" fillId="6" borderId="3" xfId="0" applyFont="1" applyFill="1" applyBorder="1" applyAlignment="1">
      <alignment horizontal="center"/>
    </xf>
    <xf numFmtId="0" fontId="32" fillId="6" borderId="0" xfId="0" applyFont="1" applyFill="1" applyAlignment="1">
      <alignment horizontal="center"/>
    </xf>
    <xf numFmtId="0" fontId="32" fillId="6" borderId="8" xfId="0" applyFont="1" applyFill="1" applyBorder="1" applyAlignment="1">
      <alignment horizontal="center"/>
    </xf>
    <xf numFmtId="0" fontId="33" fillId="6" borderId="5" xfId="0" applyFont="1" applyFill="1" applyBorder="1" applyAlignment="1">
      <alignment horizontal="center"/>
    </xf>
    <xf numFmtId="0" fontId="33" fillId="6" borderId="7" xfId="0" applyFont="1" applyFill="1" applyBorder="1" applyAlignment="1">
      <alignment horizontal="center"/>
    </xf>
    <xf numFmtId="0" fontId="37" fillId="6" borderId="0" xfId="0" applyFont="1" applyFill="1" applyAlignment="1">
      <alignment horizontal="left" vertical="center" shrinkToFit="1"/>
    </xf>
    <xf numFmtId="0" fontId="37" fillId="6" borderId="8" xfId="0" applyFont="1" applyFill="1" applyBorder="1" applyAlignment="1">
      <alignment horizontal="left" vertical="center" shrinkToFit="1"/>
    </xf>
    <xf numFmtId="0" fontId="33" fillId="6" borderId="64" xfId="0" applyFont="1" applyFill="1" applyBorder="1" applyAlignment="1">
      <alignment horizontal="right" vertical="center"/>
    </xf>
    <xf numFmtId="0" fontId="33" fillId="6" borderId="65" xfId="0" applyFont="1" applyFill="1" applyBorder="1" applyAlignment="1">
      <alignment horizontal="right" vertical="center"/>
    </xf>
    <xf numFmtId="0" fontId="33" fillId="6" borderId="6" xfId="0" applyFont="1" applyFill="1" applyBorder="1" applyAlignment="1">
      <alignment horizontal="center"/>
    </xf>
    <xf numFmtId="0" fontId="33" fillId="6" borderId="9" xfId="0" applyFont="1" applyFill="1" applyBorder="1" applyAlignment="1">
      <alignment horizontal="center"/>
    </xf>
    <xf numFmtId="0" fontId="15" fillId="6" borderId="0" xfId="0" applyFont="1" applyFill="1" applyAlignment="1">
      <alignment horizontal="center"/>
    </xf>
    <xf numFmtId="0" fontId="14" fillId="6" borderId="0" xfId="0" applyFont="1" applyFill="1" applyAlignment="1">
      <alignment horizontal="left"/>
    </xf>
    <xf numFmtId="0" fontId="39" fillId="7" borderId="0" xfId="0" applyFont="1" applyFill="1" applyAlignment="1">
      <alignment horizontal="center" vertical="center"/>
    </xf>
    <xf numFmtId="0" fontId="37" fillId="6" borderId="14" xfId="0" applyFont="1" applyFill="1" applyBorder="1" applyAlignment="1">
      <alignment horizontal="center" shrinkToFit="1"/>
    </xf>
    <xf numFmtId="0" fontId="37" fillId="6" borderId="19" xfId="0" applyFont="1" applyFill="1" applyBorder="1" applyAlignment="1">
      <alignment horizontal="center" shrinkToFit="1"/>
    </xf>
    <xf numFmtId="0" fontId="18" fillId="9" borderId="2" xfId="0" applyFont="1" applyFill="1" applyBorder="1" applyAlignment="1">
      <alignment horizontal="center" vertical="center"/>
    </xf>
    <xf numFmtId="0" fontId="18" fillId="9" borderId="3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0" fontId="24" fillId="6" borderId="0" xfId="1" applyFont="1" applyFill="1" applyAlignment="1" applyProtection="1">
      <alignment horizontal="center"/>
    </xf>
    <xf numFmtId="0" fontId="19" fillId="6" borderId="0" xfId="0" applyFont="1" applyFill="1" applyAlignment="1">
      <alignment horizontal="center"/>
    </xf>
    <xf numFmtId="0" fontId="17" fillId="6" borderId="0" xfId="0" applyFont="1" applyFill="1" applyAlignment="1">
      <alignment horizontal="center" vertical="center"/>
    </xf>
    <xf numFmtId="0" fontId="35" fillId="6" borderId="35" xfId="0" applyFont="1" applyFill="1" applyBorder="1" applyAlignment="1">
      <alignment horizontal="center" shrinkToFit="1"/>
    </xf>
    <xf numFmtId="0" fontId="47" fillId="7" borderId="47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6" fillId="7" borderId="2" xfId="0" applyFont="1" applyFill="1" applyBorder="1" applyAlignment="1">
      <alignment horizontal="center" vertical="center"/>
    </xf>
    <xf numFmtId="0" fontId="46" fillId="7" borderId="7" xfId="0" applyFont="1" applyFill="1" applyBorder="1" applyAlignment="1">
      <alignment horizontal="center" vertical="center"/>
    </xf>
    <xf numFmtId="0" fontId="47" fillId="7" borderId="3" xfId="0" applyFont="1" applyFill="1" applyBorder="1" applyAlignment="1">
      <alignment horizontal="center" vertical="center"/>
    </xf>
    <xf numFmtId="0" fontId="47" fillId="7" borderId="8" xfId="0" applyFont="1" applyFill="1" applyBorder="1" applyAlignment="1">
      <alignment horizontal="center" vertical="center"/>
    </xf>
    <xf numFmtId="0" fontId="48" fillId="5" borderId="68" xfId="0" applyFont="1" applyFill="1" applyBorder="1" applyAlignment="1">
      <alignment horizontal="center" vertical="center" shrinkToFit="1"/>
    </xf>
    <xf numFmtId="0" fontId="48" fillId="5" borderId="69" xfId="0" applyFont="1" applyFill="1" applyBorder="1" applyAlignment="1">
      <alignment horizontal="center" vertical="center" shrinkToFit="1"/>
    </xf>
    <xf numFmtId="0" fontId="48" fillId="5" borderId="70" xfId="0" applyFont="1" applyFill="1" applyBorder="1" applyAlignment="1">
      <alignment horizontal="center" vertical="center" shrinkToFit="1"/>
    </xf>
    <xf numFmtId="0" fontId="48" fillId="3" borderId="71" xfId="0" applyFont="1" applyFill="1" applyBorder="1" applyAlignment="1">
      <alignment horizontal="center" vertical="center" shrinkToFit="1"/>
    </xf>
    <xf numFmtId="0" fontId="48" fillId="3" borderId="69" xfId="0" applyFont="1" applyFill="1" applyBorder="1" applyAlignment="1">
      <alignment horizontal="center" vertical="center" shrinkToFit="1"/>
    </xf>
    <xf numFmtId="0" fontId="48" fillId="3" borderId="72" xfId="0" applyFont="1" applyFill="1" applyBorder="1" applyAlignment="1">
      <alignment horizontal="center" vertical="center" shrinkToFit="1"/>
    </xf>
    <xf numFmtId="0" fontId="48" fillId="5" borderId="71" xfId="0" applyFont="1" applyFill="1" applyBorder="1" applyAlignment="1">
      <alignment horizontal="center" vertical="center" shrinkToFit="1"/>
    </xf>
    <xf numFmtId="0" fontId="48" fillId="5" borderId="72" xfId="0" applyFont="1" applyFill="1" applyBorder="1" applyAlignment="1">
      <alignment horizontal="center" vertical="center" shrinkToFit="1"/>
    </xf>
    <xf numFmtId="0" fontId="48" fillId="3" borderId="68" xfId="0" applyFont="1" applyFill="1" applyBorder="1" applyAlignment="1">
      <alignment horizontal="center" vertical="center" shrinkToFit="1"/>
    </xf>
    <xf numFmtId="0" fontId="48" fillId="3" borderId="70" xfId="0" applyFont="1" applyFill="1" applyBorder="1" applyAlignment="1">
      <alignment horizontal="center" vertical="center" shrinkToFit="1"/>
    </xf>
    <xf numFmtId="0" fontId="48" fillId="3" borderId="59" xfId="0" applyFont="1" applyFill="1" applyBorder="1" applyAlignment="1">
      <alignment horizontal="center" vertical="center" shrinkToFit="1"/>
    </xf>
    <xf numFmtId="0" fontId="46" fillId="7" borderId="73" xfId="0" applyFont="1" applyFill="1" applyBorder="1" applyAlignment="1">
      <alignment horizontal="center" vertical="center"/>
    </xf>
    <xf numFmtId="0" fontId="48" fillId="5" borderId="73" xfId="0" applyFont="1" applyFill="1" applyBorder="1" applyAlignment="1">
      <alignment horizontal="center" vertical="center" shrinkToFit="1"/>
    </xf>
    <xf numFmtId="0" fontId="48" fillId="3" borderId="73" xfId="0" applyFont="1" applyFill="1" applyBorder="1" applyAlignment="1">
      <alignment horizontal="center" vertical="center" shrinkToFit="1"/>
    </xf>
    <xf numFmtId="0" fontId="48" fillId="5" borderId="74" xfId="0" applyFont="1" applyFill="1" applyBorder="1" applyAlignment="1">
      <alignment horizontal="center" vertical="center" shrinkToFit="1"/>
    </xf>
    <xf numFmtId="0" fontId="48" fillId="5" borderId="75" xfId="0" applyFont="1" applyFill="1" applyBorder="1" applyAlignment="1">
      <alignment horizontal="center" vertical="center" shrinkToFi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3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2" fillId="0" borderId="8" xfId="0" applyFont="1" applyBorder="1" applyAlignment="1">
      <alignment vertical="center"/>
    </xf>
  </cellXfs>
  <cellStyles count="2">
    <cellStyle name="Hyperlink" xfId="1" builtinId="8"/>
    <cellStyle name="Normal" xfId="0" builtinId="0" customBuiltin="1"/>
  </cellStyles>
  <dxfs count="6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theme="1" tint="0.499984740745262"/>
        </bottom>
      </border>
    </dxf>
    <dxf>
      <fill>
        <patternFill patternType="solid">
          <fgColor indexed="64"/>
          <bgColor rgb="FF003E64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F88200"/>
      <rgbColor rgb="00C99A83"/>
      <rgbColor rgb="00007F74"/>
      <rgbColor rgb="00EAEAEA"/>
      <rgbColor rgb="005F5F5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E9E4"/>
      <rgbColor rgb="00E4E8F3"/>
      <rgbColor rgb="001849B5"/>
      <rgbColor rgb="0036ACA2"/>
      <rgbColor rgb="00FFE21B"/>
      <rgbColor rgb="00B8CCE4"/>
      <rgbColor rgb="0095B3D7"/>
      <rgbColor rgb="004F81BD"/>
      <rgbColor rgb="0087543B"/>
      <rgbColor rgb="00969696"/>
      <rgbColor rgb="00003366"/>
      <rgbColor rgb="00109618"/>
      <rgbColor rgb="00085108"/>
      <rgbColor rgb="00C84C08"/>
      <rgbColor rgb="00244061"/>
      <rgbColor rgb="00E1C8BC"/>
      <rgbColor rgb="00614424"/>
      <rgbColor rgb="00333333"/>
    </indexedColors>
    <mruColors>
      <color rgb="FFFEC89C"/>
      <color rgb="FFF9F0E7"/>
      <color rgb="FFF67008"/>
      <color rgb="FFFAF1E8"/>
      <color rgb="FFFBF5EF"/>
      <color rgb="FFAD6424"/>
      <color rgb="FFFCF7F2"/>
      <color rgb="FFF6E7D8"/>
      <color rgb="FF003E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externalLink" Target="externalLinks/externalLink1.xml"/><Relationship Id="rId9" Type="http://schemas.microsoft.com/office/2020/07/relationships/rdRichValueWebImage" Target="richData/rdRichValueWebImage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on%20Wittwer/My%20Documents/VERTEX42/TEMPLATES/TEMPLATE%20-%20Debt%20Reduction/debt-reduction-calculator_GDocs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ulator"/>
      <sheetName val="PaymentSchedule"/>
      <sheetName val="©"/>
      <sheetName val="Order"/>
    </sheetNames>
    <sheetDataSet>
      <sheetData sheetId="0">
        <row r="20">
          <cell r="F20">
            <v>2</v>
          </cell>
        </row>
        <row r="21">
          <cell r="F21" t="b">
            <v>1</v>
          </cell>
        </row>
      </sheetData>
      <sheetData sheetId="1" refreshError="1"/>
      <sheetData sheetId="2" refreshError="1"/>
      <sheetData sheetId="3" refreshError="1"/>
    </sheetDataSet>
  </externalBook>
</externalLink>
</file>

<file path=xl/richData/_rels/rdRichValueWebImage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3.png"/><Relationship Id="rId117" Type="http://schemas.openxmlformats.org/officeDocument/2006/relationships/hyperlink" Target="https://cdn.ssref.net/req/202510241/tlogo/ncaa/columbia-2025.png" TargetMode="External"/><Relationship Id="rId21" Type="http://schemas.openxmlformats.org/officeDocument/2006/relationships/hyperlink" Target="https://cdn.ssref.net/req/202510241/tlogo/ncaa/arizona-2025.png" TargetMode="External"/><Relationship Id="rId42" Type="http://schemas.openxmlformats.org/officeDocument/2006/relationships/image" Target="../media/image21.png"/><Relationship Id="rId47" Type="http://schemas.openxmlformats.org/officeDocument/2006/relationships/hyperlink" Target="https://cdn.ssref.net/req/202510241/tlogo/ncaa/binghamton-2025.png" TargetMode="External"/><Relationship Id="rId63" Type="http://schemas.openxmlformats.org/officeDocument/2006/relationships/hyperlink" Target="https://cdn.ssref.net/req/202510241/tlogo/ncaa/bryant-2025.png" TargetMode="External"/><Relationship Id="rId68" Type="http://schemas.openxmlformats.org/officeDocument/2006/relationships/image" Target="../media/image34.png"/><Relationship Id="rId84" Type="http://schemas.openxmlformats.org/officeDocument/2006/relationships/image" Target="../media/image42.png"/><Relationship Id="rId89" Type="http://schemas.openxmlformats.org/officeDocument/2006/relationships/hyperlink" Target="https://cdn.ssref.net/req/202510241/tlogo/ncaa/central-connecticut-state-2025.png" TargetMode="External"/><Relationship Id="rId112" Type="http://schemas.openxmlformats.org/officeDocument/2006/relationships/image" Target="../media/image56.png"/><Relationship Id="rId16" Type="http://schemas.openxmlformats.org/officeDocument/2006/relationships/image" Target="../media/image8.png"/><Relationship Id="rId107" Type="http://schemas.openxmlformats.org/officeDocument/2006/relationships/hyperlink" Target="https://cdn.ssref.net/req/202510241/tlogo/ncaa/coastal-carolina-2025.png" TargetMode="External"/><Relationship Id="rId11" Type="http://schemas.openxmlformats.org/officeDocument/2006/relationships/hyperlink" Target="https://cdn.ssref.net/req/202510241/tlogo/ncaa/alabama-state-2025.png" TargetMode="External"/><Relationship Id="rId32" Type="http://schemas.openxmlformats.org/officeDocument/2006/relationships/image" Target="../media/image16.png"/><Relationship Id="rId37" Type="http://schemas.openxmlformats.org/officeDocument/2006/relationships/hyperlink" Target="https://cdn.ssref.net/req/202510241/tlogo/ncaa/ball-state-2025.png" TargetMode="External"/><Relationship Id="rId53" Type="http://schemas.openxmlformats.org/officeDocument/2006/relationships/hyperlink" Target="https://cdn.ssref.net/req/202510241/tlogo/ncaa/boston-university-2025.png" TargetMode="External"/><Relationship Id="rId58" Type="http://schemas.openxmlformats.org/officeDocument/2006/relationships/image" Target="../media/image29.png"/><Relationship Id="rId74" Type="http://schemas.openxmlformats.org/officeDocument/2006/relationships/image" Target="../media/image37.png"/><Relationship Id="rId79" Type="http://schemas.openxmlformats.org/officeDocument/2006/relationships/hyperlink" Target="https://cdn.ssref.net/req/202510241/tlogo/ncaa/california-2025.png" TargetMode="External"/><Relationship Id="rId102" Type="http://schemas.openxmlformats.org/officeDocument/2006/relationships/image" Target="../media/image51.png"/><Relationship Id="rId123" Type="http://schemas.openxmlformats.org/officeDocument/2006/relationships/hyperlink" Target="https://cdn.ssref.net/req/202510241/tlogo/ncaa/cornell-2025.png" TargetMode="External"/><Relationship Id="rId128" Type="http://schemas.openxmlformats.org/officeDocument/2006/relationships/image" Target="../media/image64.png"/><Relationship Id="rId5" Type="http://schemas.openxmlformats.org/officeDocument/2006/relationships/hyperlink" Target="https://cdn.ssref.net/req/202510241/tlogo/ncaa/akron-2025.png" TargetMode="External"/><Relationship Id="rId90" Type="http://schemas.openxmlformats.org/officeDocument/2006/relationships/image" Target="../media/image45.png"/><Relationship Id="rId95" Type="http://schemas.openxmlformats.org/officeDocument/2006/relationships/hyperlink" Target="https://cdn.ssref.net/req/202510241/tlogo/ncaa/charlotte-2025.png" TargetMode="External"/><Relationship Id="rId22" Type="http://schemas.openxmlformats.org/officeDocument/2006/relationships/image" Target="../media/image11.png"/><Relationship Id="rId27" Type="http://schemas.openxmlformats.org/officeDocument/2006/relationships/hyperlink" Target="https://cdn.ssref.net/req/202510241/tlogo/ncaa/arkansas-state-2025.png" TargetMode="External"/><Relationship Id="rId43" Type="http://schemas.openxmlformats.org/officeDocument/2006/relationships/hyperlink" Target="https://cdn.ssref.net/req/202510241/tlogo/ncaa/belmont-2025.png" TargetMode="External"/><Relationship Id="rId48" Type="http://schemas.openxmlformats.org/officeDocument/2006/relationships/image" Target="../media/image24.png"/><Relationship Id="rId64" Type="http://schemas.openxmlformats.org/officeDocument/2006/relationships/image" Target="../media/image32.png"/><Relationship Id="rId69" Type="http://schemas.openxmlformats.org/officeDocument/2006/relationships/hyperlink" Target="https://cdn.ssref.net/req/202510241/tlogo/ncaa/butler-2025.png" TargetMode="External"/><Relationship Id="rId113" Type="http://schemas.openxmlformats.org/officeDocument/2006/relationships/hyperlink" Target="https://cdn.ssref.net/req/202510241/tlogo/ncaa/colorado-2025.png" TargetMode="External"/><Relationship Id="rId118" Type="http://schemas.openxmlformats.org/officeDocument/2006/relationships/image" Target="../media/image59.png"/><Relationship Id="rId80" Type="http://schemas.openxmlformats.org/officeDocument/2006/relationships/image" Target="../media/image40.png"/><Relationship Id="rId85" Type="http://schemas.openxmlformats.org/officeDocument/2006/relationships/hyperlink" Target="https://cdn.ssref.net/req/202510241/tlogo/ncaa/canisius-2025.png" TargetMode="External"/><Relationship Id="rId12" Type="http://schemas.openxmlformats.org/officeDocument/2006/relationships/image" Target="../media/image6.png"/><Relationship Id="rId17" Type="http://schemas.openxmlformats.org/officeDocument/2006/relationships/hyperlink" Target="https://cdn.ssref.net/req/202510241/tlogo/ncaa/american-2025.png" TargetMode="External"/><Relationship Id="rId33" Type="http://schemas.openxmlformats.org/officeDocument/2006/relationships/hyperlink" Target="https://cdn.ssref.net/req/202510241/tlogo/ncaa/auburn-2025.png" TargetMode="External"/><Relationship Id="rId38" Type="http://schemas.openxmlformats.org/officeDocument/2006/relationships/image" Target="../media/image19.png"/><Relationship Id="rId59" Type="http://schemas.openxmlformats.org/officeDocument/2006/relationships/hyperlink" Target="https://cdn.ssref.net/req/202510241/tlogo/ncaa/brigham-young-2025.png" TargetMode="External"/><Relationship Id="rId103" Type="http://schemas.openxmlformats.org/officeDocument/2006/relationships/hyperlink" Target="https://cdn.ssref.net/req/202510241/tlogo/ncaa/clemson-2025.png" TargetMode="External"/><Relationship Id="rId108" Type="http://schemas.openxmlformats.org/officeDocument/2006/relationships/image" Target="../media/image54.png"/><Relationship Id="rId124" Type="http://schemas.openxmlformats.org/officeDocument/2006/relationships/image" Target="../media/image62.png"/><Relationship Id="rId54" Type="http://schemas.openxmlformats.org/officeDocument/2006/relationships/image" Target="../media/image27.png"/><Relationship Id="rId70" Type="http://schemas.openxmlformats.org/officeDocument/2006/relationships/image" Target="../media/image35.png"/><Relationship Id="rId75" Type="http://schemas.openxmlformats.org/officeDocument/2006/relationships/hyperlink" Target="https://cdn.ssref.net/req/202510241/tlogo/ncaa/cal-state-fullerton-2025.png" TargetMode="External"/><Relationship Id="rId91" Type="http://schemas.openxmlformats.org/officeDocument/2006/relationships/hyperlink" Target="https://cdn.ssref.net/req/202510241/tlogo/ncaa/central-michigan-2025.png" TargetMode="External"/><Relationship Id="rId96" Type="http://schemas.openxmlformats.org/officeDocument/2006/relationships/image" Target="../media/image48.png"/><Relationship Id="rId1" Type="http://schemas.openxmlformats.org/officeDocument/2006/relationships/hyperlink" Target="https://cdn.ssref.net/req/202510241/tlogo/ncaa/abilene-christian-2025.png" TargetMode="External"/><Relationship Id="rId6" Type="http://schemas.openxmlformats.org/officeDocument/2006/relationships/image" Target="../media/image3.png"/><Relationship Id="rId23" Type="http://schemas.openxmlformats.org/officeDocument/2006/relationships/hyperlink" Target="https://cdn.ssref.net/req/202510241/tlogo/ncaa/arizona-state-2025.png" TargetMode="External"/><Relationship Id="rId28" Type="http://schemas.openxmlformats.org/officeDocument/2006/relationships/image" Target="../media/image14.png"/><Relationship Id="rId49" Type="http://schemas.openxmlformats.org/officeDocument/2006/relationships/hyperlink" Target="https://cdn.ssref.net/req/202510241/tlogo/ncaa/boise-state-2025.png" TargetMode="External"/><Relationship Id="rId114" Type="http://schemas.openxmlformats.org/officeDocument/2006/relationships/image" Target="../media/image57.png"/><Relationship Id="rId119" Type="http://schemas.openxmlformats.org/officeDocument/2006/relationships/hyperlink" Target="https://cdn.ssref.net/req/202510241/tlogo/ncaa/connecticut-2025.png" TargetMode="External"/><Relationship Id="rId44" Type="http://schemas.openxmlformats.org/officeDocument/2006/relationships/image" Target="../media/image22.png"/><Relationship Id="rId60" Type="http://schemas.openxmlformats.org/officeDocument/2006/relationships/image" Target="../media/image30.png"/><Relationship Id="rId65" Type="http://schemas.openxmlformats.org/officeDocument/2006/relationships/hyperlink" Target="https://cdn.ssref.net/req/202510241/tlogo/ncaa/bucknell-2025.png" TargetMode="External"/><Relationship Id="rId81" Type="http://schemas.openxmlformats.org/officeDocument/2006/relationships/hyperlink" Target="https://cdn.ssref.net/req/202510241/tlogo/ncaa/california-baptist-2025.png" TargetMode="External"/><Relationship Id="rId86" Type="http://schemas.openxmlformats.org/officeDocument/2006/relationships/image" Target="../media/image43.png"/><Relationship Id="rId13" Type="http://schemas.openxmlformats.org/officeDocument/2006/relationships/hyperlink" Target="https://cdn.ssref.net/req/202510241/tlogo/ncaa/albany-ny-2025.png" TargetMode="External"/><Relationship Id="rId18" Type="http://schemas.openxmlformats.org/officeDocument/2006/relationships/image" Target="../media/image9.png"/><Relationship Id="rId39" Type="http://schemas.openxmlformats.org/officeDocument/2006/relationships/hyperlink" Target="https://cdn.ssref.net/req/202510241/tlogo/ncaa/baylor-2025.png" TargetMode="External"/><Relationship Id="rId109" Type="http://schemas.openxmlformats.org/officeDocument/2006/relationships/hyperlink" Target="https://cdn.ssref.net/req/202510241/tlogo/ncaa/colgate-2025.png" TargetMode="External"/><Relationship Id="rId34" Type="http://schemas.openxmlformats.org/officeDocument/2006/relationships/image" Target="../media/image17.png"/><Relationship Id="rId50" Type="http://schemas.openxmlformats.org/officeDocument/2006/relationships/image" Target="../media/image25.png"/><Relationship Id="rId55" Type="http://schemas.openxmlformats.org/officeDocument/2006/relationships/hyperlink" Target="https://cdn.ssref.net/req/202510241/tlogo/ncaa/bowling-green-state-2025.png" TargetMode="External"/><Relationship Id="rId76" Type="http://schemas.openxmlformats.org/officeDocument/2006/relationships/image" Target="../media/image38.png"/><Relationship Id="rId97" Type="http://schemas.openxmlformats.org/officeDocument/2006/relationships/hyperlink" Target="https://cdn.ssref.net/req/202510241/tlogo/ncaa/chattanooga-2025.png" TargetMode="External"/><Relationship Id="rId104" Type="http://schemas.openxmlformats.org/officeDocument/2006/relationships/image" Target="../media/image52.png"/><Relationship Id="rId120" Type="http://schemas.openxmlformats.org/officeDocument/2006/relationships/image" Target="../media/image60.png"/><Relationship Id="rId125" Type="http://schemas.openxmlformats.org/officeDocument/2006/relationships/hyperlink" Target="https://cdn.ssref.net/req/202510241/tlogo/ncaa/creighton-2025.png" TargetMode="External"/><Relationship Id="rId7" Type="http://schemas.openxmlformats.org/officeDocument/2006/relationships/hyperlink" Target="https://cdn.ssref.net/req/202510241/tlogo/ncaa/alabama-2025.png" TargetMode="External"/><Relationship Id="rId71" Type="http://schemas.openxmlformats.org/officeDocument/2006/relationships/hyperlink" Target="https://cdn.ssref.net/req/202510241/tlogo/ncaa/cal-poly-2025.png" TargetMode="External"/><Relationship Id="rId92" Type="http://schemas.openxmlformats.org/officeDocument/2006/relationships/image" Target="../media/image46.png"/><Relationship Id="rId2" Type="http://schemas.openxmlformats.org/officeDocument/2006/relationships/image" Target="../media/image1.png"/><Relationship Id="rId29" Type="http://schemas.openxmlformats.org/officeDocument/2006/relationships/hyperlink" Target="https://cdn.ssref.net/req/202510241/tlogo/ncaa/arkansas-pine-bluff-2025.png" TargetMode="External"/><Relationship Id="rId24" Type="http://schemas.openxmlformats.org/officeDocument/2006/relationships/image" Target="../media/image12.png"/><Relationship Id="rId40" Type="http://schemas.openxmlformats.org/officeDocument/2006/relationships/image" Target="../media/image20.png"/><Relationship Id="rId45" Type="http://schemas.openxmlformats.org/officeDocument/2006/relationships/hyperlink" Target="https://cdn.ssref.net/req/202510241/tlogo/ncaa/bethune-cookman-2025.png" TargetMode="External"/><Relationship Id="rId66" Type="http://schemas.openxmlformats.org/officeDocument/2006/relationships/image" Target="../media/image33.png"/><Relationship Id="rId87" Type="http://schemas.openxmlformats.org/officeDocument/2006/relationships/hyperlink" Target="https://cdn.ssref.net/req/202510241/tlogo/ncaa/central-arkansas-2025.png" TargetMode="External"/><Relationship Id="rId110" Type="http://schemas.openxmlformats.org/officeDocument/2006/relationships/image" Target="../media/image55.png"/><Relationship Id="rId115" Type="http://schemas.openxmlformats.org/officeDocument/2006/relationships/hyperlink" Target="https://cdn.ssref.net/req/202510241/tlogo/ncaa/colorado-state-2025.png" TargetMode="External"/><Relationship Id="rId61" Type="http://schemas.openxmlformats.org/officeDocument/2006/relationships/hyperlink" Target="https://cdn.ssref.net/req/202510241/tlogo/ncaa/brown-2025.png" TargetMode="External"/><Relationship Id="rId82" Type="http://schemas.openxmlformats.org/officeDocument/2006/relationships/image" Target="../media/image41.png"/><Relationship Id="rId19" Type="http://schemas.openxmlformats.org/officeDocument/2006/relationships/hyperlink" Target="https://cdn.ssref.net/req/202510241/tlogo/ncaa/appalachian-state-2025.png" TargetMode="External"/><Relationship Id="rId14" Type="http://schemas.openxmlformats.org/officeDocument/2006/relationships/image" Target="../media/image7.png"/><Relationship Id="rId30" Type="http://schemas.openxmlformats.org/officeDocument/2006/relationships/image" Target="../media/image15.png"/><Relationship Id="rId35" Type="http://schemas.openxmlformats.org/officeDocument/2006/relationships/hyperlink" Target="https://cdn.ssref.net/req/202510241/tlogo/ncaa/austin-peay-2025.png" TargetMode="External"/><Relationship Id="rId56" Type="http://schemas.openxmlformats.org/officeDocument/2006/relationships/image" Target="../media/image28.png"/><Relationship Id="rId77" Type="http://schemas.openxmlformats.org/officeDocument/2006/relationships/hyperlink" Target="https://cdn.ssref.net/req/202510241/tlogo/ncaa/cal-state-northridge-2025.png" TargetMode="External"/><Relationship Id="rId100" Type="http://schemas.openxmlformats.org/officeDocument/2006/relationships/image" Target="../media/image50.png"/><Relationship Id="rId105" Type="http://schemas.openxmlformats.org/officeDocument/2006/relationships/hyperlink" Target="https://cdn.ssref.net/req/202510241/tlogo/ncaa/cleveland-state-2025.png" TargetMode="External"/><Relationship Id="rId126" Type="http://schemas.openxmlformats.org/officeDocument/2006/relationships/image" Target="../media/image63.png"/><Relationship Id="rId8" Type="http://schemas.openxmlformats.org/officeDocument/2006/relationships/image" Target="../media/image4.png"/><Relationship Id="rId51" Type="http://schemas.openxmlformats.org/officeDocument/2006/relationships/hyperlink" Target="https://cdn.ssref.net/req/202510241/tlogo/ncaa/boston-college-2025.png" TargetMode="External"/><Relationship Id="rId72" Type="http://schemas.openxmlformats.org/officeDocument/2006/relationships/image" Target="../media/image36.png"/><Relationship Id="rId93" Type="http://schemas.openxmlformats.org/officeDocument/2006/relationships/hyperlink" Target="https://cdn.ssref.net/req/202510241/tlogo/ncaa/charleston-southern-2025.png" TargetMode="External"/><Relationship Id="rId98" Type="http://schemas.openxmlformats.org/officeDocument/2006/relationships/image" Target="../media/image49.png"/><Relationship Id="rId121" Type="http://schemas.openxmlformats.org/officeDocument/2006/relationships/hyperlink" Target="https://cdn.ssref.net/req/202510241/tlogo/ncaa/coppin-state-2025.png" TargetMode="External"/><Relationship Id="rId3" Type="http://schemas.openxmlformats.org/officeDocument/2006/relationships/hyperlink" Target="https://cdn.ssref.net/req/202510241/tlogo/ncaa/air-force-2025.png" TargetMode="External"/><Relationship Id="rId25" Type="http://schemas.openxmlformats.org/officeDocument/2006/relationships/hyperlink" Target="https://cdn.ssref.net/req/202510241/tlogo/ncaa/arkansas-2025.png" TargetMode="External"/><Relationship Id="rId46" Type="http://schemas.openxmlformats.org/officeDocument/2006/relationships/image" Target="../media/image23.png"/><Relationship Id="rId67" Type="http://schemas.openxmlformats.org/officeDocument/2006/relationships/hyperlink" Target="https://cdn.ssref.net/req/202510241/tlogo/ncaa/buffalo-2025.png" TargetMode="External"/><Relationship Id="rId116" Type="http://schemas.openxmlformats.org/officeDocument/2006/relationships/image" Target="../media/image58.png"/><Relationship Id="rId20" Type="http://schemas.openxmlformats.org/officeDocument/2006/relationships/image" Target="../media/image10.png"/><Relationship Id="rId41" Type="http://schemas.openxmlformats.org/officeDocument/2006/relationships/hyperlink" Target="https://cdn.ssref.net/req/202510241/tlogo/ncaa/bellarmine-2025.png" TargetMode="External"/><Relationship Id="rId62" Type="http://schemas.openxmlformats.org/officeDocument/2006/relationships/image" Target="../media/image31.png"/><Relationship Id="rId83" Type="http://schemas.openxmlformats.org/officeDocument/2006/relationships/hyperlink" Target="https://cdn.ssref.net/req/202510241/tlogo/ncaa/campbell-2025.png" TargetMode="External"/><Relationship Id="rId88" Type="http://schemas.openxmlformats.org/officeDocument/2006/relationships/image" Target="../media/image44.png"/><Relationship Id="rId111" Type="http://schemas.openxmlformats.org/officeDocument/2006/relationships/hyperlink" Target="https://cdn.ssref.net/req/202510241/tlogo/ncaa/college-of-charleston-2025.png" TargetMode="External"/><Relationship Id="rId15" Type="http://schemas.openxmlformats.org/officeDocument/2006/relationships/hyperlink" Target="https://cdn.ssref.net/req/202510241/tlogo/ncaa/alcorn-state-2025.png" TargetMode="External"/><Relationship Id="rId36" Type="http://schemas.openxmlformats.org/officeDocument/2006/relationships/image" Target="../media/image18.png"/><Relationship Id="rId57" Type="http://schemas.openxmlformats.org/officeDocument/2006/relationships/hyperlink" Target="https://cdn.ssref.net/req/202510241/tlogo/ncaa/bradley-2025.png" TargetMode="External"/><Relationship Id="rId106" Type="http://schemas.openxmlformats.org/officeDocument/2006/relationships/image" Target="../media/image53.png"/><Relationship Id="rId127" Type="http://schemas.openxmlformats.org/officeDocument/2006/relationships/hyperlink" Target="https://cdn.ssref.net/req/202510241/tlogo/ncaa/dartmouth-2025.png" TargetMode="External"/><Relationship Id="rId10" Type="http://schemas.openxmlformats.org/officeDocument/2006/relationships/image" Target="../media/image5.png"/><Relationship Id="rId31" Type="http://schemas.openxmlformats.org/officeDocument/2006/relationships/hyperlink" Target="https://cdn.ssref.net/req/202510241/tlogo/ncaa/army-2025.png" TargetMode="External"/><Relationship Id="rId52" Type="http://schemas.openxmlformats.org/officeDocument/2006/relationships/image" Target="../media/image26.png"/><Relationship Id="rId73" Type="http://schemas.openxmlformats.org/officeDocument/2006/relationships/hyperlink" Target="https://cdn.ssref.net/req/202510241/tlogo/ncaa/cal-state-bakersfield-2025.png" TargetMode="External"/><Relationship Id="rId78" Type="http://schemas.openxmlformats.org/officeDocument/2006/relationships/image" Target="../media/image39.png"/><Relationship Id="rId94" Type="http://schemas.openxmlformats.org/officeDocument/2006/relationships/image" Target="../media/image47.png"/><Relationship Id="rId99" Type="http://schemas.openxmlformats.org/officeDocument/2006/relationships/hyperlink" Target="https://cdn.ssref.net/req/202510241/tlogo/ncaa/chicago-state-2025.png" TargetMode="External"/><Relationship Id="rId101" Type="http://schemas.openxmlformats.org/officeDocument/2006/relationships/hyperlink" Target="https://cdn.ssref.net/req/202510241/tlogo/ncaa/cincinnati-2025.png" TargetMode="External"/><Relationship Id="rId122" Type="http://schemas.openxmlformats.org/officeDocument/2006/relationships/image" Target="../media/image61.png"/><Relationship Id="rId4" Type="http://schemas.openxmlformats.org/officeDocument/2006/relationships/image" Target="../media/image2.png"/><Relationship Id="rId9" Type="http://schemas.openxmlformats.org/officeDocument/2006/relationships/hyperlink" Target="https://cdn.ssref.net/req/202510241/tlogo/ncaa/alabama-am-2025.png" TargetMode="Externa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  <webImageSrd>
    <address r:id="rId39"/>
    <blip r:id="rId40"/>
  </webImageSrd>
  <webImageSrd>
    <address r:id="rId41"/>
    <blip r:id="rId42"/>
  </webImageSrd>
  <webImageSrd>
    <address r:id="rId43"/>
    <blip r:id="rId44"/>
  </webImageSrd>
  <webImageSrd>
    <address r:id="rId45"/>
    <blip r:id="rId46"/>
  </webImageSrd>
  <webImageSrd>
    <address r:id="rId47"/>
    <blip r:id="rId48"/>
  </webImageSrd>
  <webImageSrd>
    <address r:id="rId49"/>
    <blip r:id="rId50"/>
  </webImageSrd>
  <webImageSrd>
    <address r:id="rId51"/>
    <blip r:id="rId52"/>
  </webImageSrd>
  <webImageSrd>
    <address r:id="rId53"/>
    <blip r:id="rId54"/>
  </webImageSrd>
  <webImageSrd>
    <address r:id="rId55"/>
    <blip r:id="rId56"/>
  </webImageSrd>
  <webImageSrd>
    <address r:id="rId57"/>
    <blip r:id="rId58"/>
  </webImageSrd>
  <webImageSrd>
    <address r:id="rId59"/>
    <blip r:id="rId60"/>
  </webImageSrd>
  <webImageSrd>
    <address r:id="rId61"/>
    <blip r:id="rId62"/>
  </webImageSrd>
  <webImageSrd>
    <address r:id="rId63"/>
    <blip r:id="rId64"/>
  </webImageSrd>
  <webImageSrd>
    <address r:id="rId65"/>
    <blip r:id="rId66"/>
  </webImageSrd>
  <webImageSrd>
    <address r:id="rId67"/>
    <blip r:id="rId68"/>
  </webImageSrd>
  <webImageSrd>
    <address r:id="rId69"/>
    <blip r:id="rId70"/>
  </webImageSrd>
  <webImageSrd>
    <address r:id="rId71"/>
    <blip r:id="rId72"/>
  </webImageSrd>
  <webImageSrd>
    <address r:id="rId73"/>
    <blip r:id="rId74"/>
  </webImageSrd>
  <webImageSrd>
    <address r:id="rId75"/>
    <blip r:id="rId76"/>
  </webImageSrd>
  <webImageSrd>
    <address r:id="rId77"/>
    <blip r:id="rId78"/>
  </webImageSrd>
  <webImageSrd>
    <address r:id="rId79"/>
    <blip r:id="rId80"/>
  </webImageSrd>
  <webImageSrd>
    <address r:id="rId81"/>
    <blip r:id="rId82"/>
  </webImageSrd>
  <webImageSrd>
    <address r:id="rId83"/>
    <blip r:id="rId84"/>
  </webImageSrd>
  <webImageSrd>
    <address r:id="rId85"/>
    <blip r:id="rId86"/>
  </webImageSrd>
  <webImageSrd>
    <address r:id="rId87"/>
    <blip r:id="rId88"/>
  </webImageSrd>
  <webImageSrd>
    <address r:id="rId89"/>
    <blip r:id="rId90"/>
  </webImageSrd>
  <webImageSrd>
    <address r:id="rId91"/>
    <blip r:id="rId92"/>
  </webImageSrd>
  <webImageSrd>
    <address r:id="rId93"/>
    <blip r:id="rId94"/>
  </webImageSrd>
  <webImageSrd>
    <address r:id="rId95"/>
    <blip r:id="rId96"/>
  </webImageSrd>
  <webImageSrd>
    <address r:id="rId97"/>
    <blip r:id="rId98"/>
  </webImageSrd>
  <webImageSrd>
    <address r:id="rId99"/>
    <blip r:id="rId100"/>
  </webImageSrd>
  <webImageSrd>
    <address r:id="rId101"/>
    <blip r:id="rId102"/>
  </webImageSrd>
  <webImageSrd>
    <address r:id="rId103"/>
    <blip r:id="rId104"/>
  </webImageSrd>
  <webImageSrd>
    <address r:id="rId105"/>
    <blip r:id="rId106"/>
  </webImageSrd>
  <webImageSrd>
    <address r:id="rId107"/>
    <blip r:id="rId108"/>
  </webImageSrd>
  <webImageSrd>
    <address r:id="rId109"/>
    <blip r:id="rId110"/>
  </webImageSrd>
  <webImageSrd>
    <address r:id="rId111"/>
    <blip r:id="rId112"/>
  </webImageSrd>
  <webImageSrd>
    <address r:id="rId113"/>
    <blip r:id="rId114"/>
  </webImageSrd>
  <webImageSrd>
    <address r:id="rId115"/>
    <blip r:id="rId116"/>
  </webImageSrd>
  <webImageSrd>
    <address r:id="rId117"/>
    <blip r:id="rId118"/>
  </webImageSrd>
  <webImageSrd>
    <address r:id="rId119"/>
    <blip r:id="rId120"/>
  </webImageSrd>
  <webImageSrd>
    <address r:id="rId121"/>
    <blip r:id="rId122"/>
  </webImageSrd>
  <webImageSrd>
    <address r:id="rId123"/>
    <blip r:id="rId124"/>
  </webImageSrd>
  <webImageSrd>
    <address r:id="rId125"/>
    <blip r:id="rId126"/>
  </webImageSrd>
  <webImageSrd>
    <address r:id="rId127"/>
    <blip r:id="rId128"/>
  </webImageSrd>
</webImagesSrd>
</file>

<file path=xl/richData/rdrichvalue.xml><?xml version="1.0" encoding="utf-8"?>
<rvData xmlns="http://schemas.microsoft.com/office/spreadsheetml/2017/richdata" count="128">
  <rv s="0">
    <v>0</v>
    <v>1</v>
    <v>0</v>
    <v>0</v>
  </rv>
  <rv s="0">
    <v>1</v>
    <v>1</v>
    <v>0</v>
    <v>0</v>
  </rv>
  <rv s="0">
    <v>2</v>
    <v>1</v>
    <v>0</v>
    <v>0</v>
  </rv>
  <rv s="0">
    <v>3</v>
    <v>1</v>
    <v>0</v>
    <v>0</v>
  </rv>
  <rv s="0">
    <v>4</v>
    <v>1</v>
    <v>0</v>
    <v>0</v>
  </rv>
  <rv s="0">
    <v>5</v>
    <v>1</v>
    <v>0</v>
    <v>0</v>
  </rv>
  <rv s="0">
    <v>6</v>
    <v>1</v>
    <v>0</v>
    <v>0</v>
  </rv>
  <rv s="0">
    <v>7</v>
    <v>1</v>
    <v>0</v>
    <v>0</v>
  </rv>
  <rv s="0">
    <v>8</v>
    <v>1</v>
    <v>0</v>
    <v>0</v>
  </rv>
  <rv s="0">
    <v>9</v>
    <v>1</v>
    <v>0</v>
    <v>0</v>
  </rv>
  <rv s="0">
    <v>10</v>
    <v>1</v>
    <v>0</v>
    <v>0</v>
  </rv>
  <rv s="0">
    <v>11</v>
    <v>1</v>
    <v>0</v>
    <v>0</v>
  </rv>
  <rv s="0">
    <v>12</v>
    <v>1</v>
    <v>0</v>
    <v>0</v>
  </rv>
  <rv s="0">
    <v>13</v>
    <v>1</v>
    <v>0</v>
    <v>0</v>
  </rv>
  <rv s="0">
    <v>14</v>
    <v>1</v>
    <v>0</v>
    <v>0</v>
  </rv>
  <rv s="0">
    <v>15</v>
    <v>1</v>
    <v>0</v>
    <v>0</v>
  </rv>
  <rv s="0">
    <v>16</v>
    <v>1</v>
    <v>0</v>
    <v>0</v>
  </rv>
  <rv s="0">
    <v>17</v>
    <v>1</v>
    <v>0</v>
    <v>0</v>
  </rv>
  <rv s="0">
    <v>18</v>
    <v>1</v>
    <v>0</v>
    <v>0</v>
  </rv>
  <rv s="0">
    <v>19</v>
    <v>1</v>
    <v>0</v>
    <v>0</v>
  </rv>
  <rv s="0">
    <v>20</v>
    <v>1</v>
    <v>0</v>
    <v>0</v>
  </rv>
  <rv s="0">
    <v>21</v>
    <v>1</v>
    <v>0</v>
    <v>0</v>
  </rv>
  <rv s="0">
    <v>22</v>
    <v>1</v>
    <v>0</v>
    <v>0</v>
  </rv>
  <rv s="0">
    <v>23</v>
    <v>1</v>
    <v>0</v>
    <v>0</v>
  </rv>
  <rv s="0">
    <v>24</v>
    <v>1</v>
    <v>0</v>
    <v>0</v>
  </rv>
  <rv s="0">
    <v>25</v>
    <v>1</v>
    <v>0</v>
    <v>0</v>
  </rv>
  <rv s="0">
    <v>26</v>
    <v>1</v>
    <v>0</v>
    <v>0</v>
  </rv>
  <rv s="0">
    <v>27</v>
    <v>1</v>
    <v>0</v>
    <v>0</v>
  </rv>
  <rv s="0">
    <v>28</v>
    <v>1</v>
    <v>0</v>
    <v>0</v>
  </rv>
  <rv s="0">
    <v>29</v>
    <v>1</v>
    <v>0</v>
    <v>0</v>
  </rv>
  <rv s="0">
    <v>30</v>
    <v>1</v>
    <v>0</v>
    <v>0</v>
  </rv>
  <rv s="0">
    <v>31</v>
    <v>1</v>
    <v>0</v>
    <v>0</v>
  </rv>
  <rv s="0">
    <v>32</v>
    <v>1</v>
    <v>0</v>
    <v>0</v>
  </rv>
  <rv s="0">
    <v>33</v>
    <v>1</v>
    <v>0</v>
    <v>0</v>
  </rv>
  <rv s="0">
    <v>34</v>
    <v>1</v>
    <v>0</v>
    <v>0</v>
  </rv>
  <rv s="0">
    <v>35</v>
    <v>1</v>
    <v>0</v>
    <v>0</v>
  </rv>
  <rv s="0">
    <v>36</v>
    <v>1</v>
    <v>0</v>
    <v>0</v>
  </rv>
  <rv s="0">
    <v>37</v>
    <v>1</v>
    <v>0</v>
    <v>0</v>
  </rv>
  <rv s="0">
    <v>38</v>
    <v>1</v>
    <v>0</v>
    <v>0</v>
  </rv>
  <rv s="0">
    <v>39</v>
    <v>1</v>
    <v>0</v>
    <v>0</v>
  </rv>
  <rv s="0">
    <v>40</v>
    <v>1</v>
    <v>0</v>
    <v>0</v>
  </rv>
  <rv s="0">
    <v>41</v>
    <v>1</v>
    <v>0</v>
    <v>0</v>
  </rv>
  <rv s="0">
    <v>42</v>
    <v>1</v>
    <v>0</v>
    <v>0</v>
  </rv>
  <rv s="0">
    <v>43</v>
    <v>1</v>
    <v>0</v>
    <v>0</v>
  </rv>
  <rv s="0">
    <v>44</v>
    <v>1</v>
    <v>0</v>
    <v>0</v>
  </rv>
  <rv s="0">
    <v>45</v>
    <v>1</v>
    <v>0</v>
    <v>0</v>
  </rv>
  <rv s="0">
    <v>46</v>
    <v>1</v>
    <v>0</v>
    <v>0</v>
  </rv>
  <rv s="0">
    <v>47</v>
    <v>1</v>
    <v>0</v>
    <v>0</v>
  </rv>
  <rv s="0">
    <v>48</v>
    <v>1</v>
    <v>0</v>
    <v>0</v>
  </rv>
  <rv s="0">
    <v>49</v>
    <v>1</v>
    <v>0</v>
    <v>0</v>
  </rv>
  <rv s="0">
    <v>50</v>
    <v>1</v>
    <v>0</v>
    <v>0</v>
  </rv>
  <rv s="0">
    <v>51</v>
    <v>1</v>
    <v>0</v>
    <v>0</v>
  </rv>
  <rv s="0">
    <v>52</v>
    <v>1</v>
    <v>0</v>
    <v>0</v>
  </rv>
  <rv s="0">
    <v>53</v>
    <v>1</v>
    <v>0</v>
    <v>0</v>
  </rv>
  <rv s="0">
    <v>54</v>
    <v>1</v>
    <v>0</v>
    <v>0</v>
  </rv>
  <rv s="0">
    <v>55</v>
    <v>1</v>
    <v>0</v>
    <v>0</v>
  </rv>
  <rv s="0">
    <v>56</v>
    <v>1</v>
    <v>0</v>
    <v>0</v>
  </rv>
  <rv s="0">
    <v>57</v>
    <v>1</v>
    <v>0</v>
    <v>0</v>
  </rv>
  <rv s="0">
    <v>58</v>
    <v>1</v>
    <v>0</v>
    <v>0</v>
  </rv>
  <rv s="0">
    <v>59</v>
    <v>1</v>
    <v>0</v>
    <v>0</v>
  </rv>
  <rv s="0">
    <v>60</v>
    <v>1</v>
    <v>0</v>
    <v>0</v>
  </rv>
  <rv s="0">
    <v>61</v>
    <v>1</v>
    <v>0</v>
    <v>0</v>
  </rv>
  <rv s="0">
    <v>62</v>
    <v>1</v>
    <v>0</v>
    <v>0</v>
  </rv>
  <rv s="0">
    <v>63</v>
    <v>1</v>
    <v>0</v>
    <v>0</v>
  </rv>
  <rv s="0">
    <v>0</v>
    <v>4</v>
    <v>0</v>
    <v>0</v>
  </rv>
  <rv s="0">
    <v>1</v>
    <v>4</v>
    <v>0</v>
    <v>0</v>
  </rv>
  <rv s="0">
    <v>2</v>
    <v>4</v>
    <v>0</v>
    <v>0</v>
  </rv>
  <rv s="0">
    <v>3</v>
    <v>4</v>
    <v>0</v>
    <v>0</v>
  </rv>
  <rv s="0">
    <v>4</v>
    <v>4</v>
    <v>0</v>
    <v>0</v>
  </rv>
  <rv s="0">
    <v>5</v>
    <v>4</v>
    <v>0</v>
    <v>0</v>
  </rv>
  <rv s="0">
    <v>6</v>
    <v>4</v>
    <v>0</v>
    <v>0</v>
  </rv>
  <rv s="0">
    <v>7</v>
    <v>4</v>
    <v>0</v>
    <v>0</v>
  </rv>
  <rv s="0">
    <v>8</v>
    <v>4</v>
    <v>0</v>
    <v>0</v>
  </rv>
  <rv s="0">
    <v>9</v>
    <v>4</v>
    <v>0</v>
    <v>0</v>
  </rv>
  <rv s="0">
    <v>10</v>
    <v>4</v>
    <v>0</v>
    <v>0</v>
  </rv>
  <rv s="0">
    <v>11</v>
    <v>4</v>
    <v>0</v>
    <v>0</v>
  </rv>
  <rv s="0">
    <v>12</v>
    <v>4</v>
    <v>0</v>
    <v>0</v>
  </rv>
  <rv s="0">
    <v>13</v>
    <v>4</v>
    <v>0</v>
    <v>0</v>
  </rv>
  <rv s="0">
    <v>14</v>
    <v>4</v>
    <v>0</v>
    <v>0</v>
  </rv>
  <rv s="0">
    <v>15</v>
    <v>4</v>
    <v>0</v>
    <v>0</v>
  </rv>
  <rv s="0">
    <v>16</v>
    <v>4</v>
    <v>0</v>
    <v>0</v>
  </rv>
  <rv s="0">
    <v>17</v>
    <v>4</v>
    <v>0</v>
    <v>0</v>
  </rv>
  <rv s="0">
    <v>18</v>
    <v>4</v>
    <v>0</v>
    <v>0</v>
  </rv>
  <rv s="0">
    <v>19</v>
    <v>4</v>
    <v>0</v>
    <v>0</v>
  </rv>
  <rv s="0">
    <v>20</v>
    <v>4</v>
    <v>0</v>
    <v>0</v>
  </rv>
  <rv s="0">
    <v>21</v>
    <v>4</v>
    <v>0</v>
    <v>0</v>
  </rv>
  <rv s="0">
    <v>22</v>
    <v>4</v>
    <v>0</v>
    <v>0</v>
  </rv>
  <rv s="0">
    <v>23</v>
    <v>4</v>
    <v>0</v>
    <v>0</v>
  </rv>
  <rv s="0">
    <v>24</v>
    <v>4</v>
    <v>0</v>
    <v>0</v>
  </rv>
  <rv s="0">
    <v>25</v>
    <v>4</v>
    <v>0</v>
    <v>0</v>
  </rv>
  <rv s="0">
    <v>26</v>
    <v>4</v>
    <v>0</v>
    <v>0</v>
  </rv>
  <rv s="0">
    <v>27</v>
    <v>4</v>
    <v>0</v>
    <v>0</v>
  </rv>
  <rv s="0">
    <v>28</v>
    <v>4</v>
    <v>0</v>
    <v>0</v>
  </rv>
  <rv s="0">
    <v>29</v>
    <v>4</v>
    <v>0</v>
    <v>0</v>
  </rv>
  <rv s="0">
    <v>30</v>
    <v>4</v>
    <v>0</v>
    <v>0</v>
  </rv>
  <rv s="0">
    <v>31</v>
    <v>4</v>
    <v>0</v>
    <v>0</v>
  </rv>
  <rv s="0">
    <v>32</v>
    <v>4</v>
    <v>0</v>
    <v>0</v>
  </rv>
  <rv s="0">
    <v>33</v>
    <v>4</v>
    <v>0</v>
    <v>0</v>
  </rv>
  <rv s="0">
    <v>34</v>
    <v>4</v>
    <v>0</v>
    <v>0</v>
  </rv>
  <rv s="0">
    <v>35</v>
    <v>4</v>
    <v>0</v>
    <v>0</v>
  </rv>
  <rv s="0">
    <v>36</v>
    <v>4</v>
    <v>0</v>
    <v>0</v>
  </rv>
  <rv s="0">
    <v>37</v>
    <v>4</v>
    <v>0</v>
    <v>0</v>
  </rv>
  <rv s="0">
    <v>38</v>
    <v>4</v>
    <v>0</v>
    <v>0</v>
  </rv>
  <rv s="0">
    <v>39</v>
    <v>4</v>
    <v>0</v>
    <v>0</v>
  </rv>
  <rv s="0">
    <v>40</v>
    <v>4</v>
    <v>0</v>
    <v>0</v>
  </rv>
  <rv s="0">
    <v>41</v>
    <v>4</v>
    <v>0</v>
    <v>0</v>
  </rv>
  <rv s="0">
    <v>42</v>
    <v>4</v>
    <v>0</v>
    <v>0</v>
  </rv>
  <rv s="0">
    <v>43</v>
    <v>4</v>
    <v>0</v>
    <v>0</v>
  </rv>
  <rv s="0">
    <v>44</v>
    <v>4</v>
    <v>0</v>
    <v>0</v>
  </rv>
  <rv s="0">
    <v>45</v>
    <v>4</v>
    <v>0</v>
    <v>0</v>
  </rv>
  <rv s="0">
    <v>46</v>
    <v>4</v>
    <v>0</v>
    <v>0</v>
  </rv>
  <rv s="0">
    <v>47</v>
    <v>4</v>
    <v>0</v>
    <v>0</v>
  </rv>
  <rv s="0">
    <v>48</v>
    <v>4</v>
    <v>0</v>
    <v>0</v>
  </rv>
  <rv s="0">
    <v>49</v>
    <v>4</v>
    <v>0</v>
    <v>0</v>
  </rv>
  <rv s="0">
    <v>50</v>
    <v>4</v>
    <v>0</v>
    <v>0</v>
  </rv>
  <rv s="0">
    <v>51</v>
    <v>4</v>
    <v>0</v>
    <v>0</v>
  </rv>
  <rv s="0">
    <v>52</v>
    <v>4</v>
    <v>0</v>
    <v>0</v>
  </rv>
  <rv s="0">
    <v>53</v>
    <v>4</v>
    <v>0</v>
    <v>0</v>
  </rv>
  <rv s="0">
    <v>54</v>
    <v>4</v>
    <v>0</v>
    <v>0</v>
  </rv>
  <rv s="0">
    <v>55</v>
    <v>4</v>
    <v>0</v>
    <v>0</v>
  </rv>
  <rv s="0">
    <v>56</v>
    <v>4</v>
    <v>0</v>
    <v>0</v>
  </rv>
  <rv s="0">
    <v>57</v>
    <v>4</v>
    <v>0</v>
    <v>0</v>
  </rv>
  <rv s="0">
    <v>58</v>
    <v>4</v>
    <v>0</v>
    <v>0</v>
  </rv>
  <rv s="0">
    <v>59</v>
    <v>4</v>
    <v>0</v>
    <v>0</v>
  </rv>
  <rv s="0">
    <v>60</v>
    <v>4</v>
    <v>0</v>
    <v>0</v>
  </rv>
  <rv s="0">
    <v>61</v>
    <v>4</v>
    <v>0</v>
    <v>0</v>
  </rv>
  <rv s="0">
    <v>62</v>
    <v>4</v>
    <v>0</v>
    <v>0</v>
  </rv>
  <rv s="0">
    <v>63</v>
    <v>4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022D98-9C5C-4F61-B0DF-E159B216C11F}" name="Teams" displayName="Teams" ref="A1:E65" totalsRowShown="0" headerRowDxfId="5" tableBorderDxfId="4" dataCellStyle="Normal">
  <autoFilter ref="A1:E65" xr:uid="{26022D98-9C5C-4F61-B0DF-E159B216C11F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ED40F7E7-3328-4259-9877-945FE5D47DC3}" name="Seed" dataDxfId="3" dataCellStyle="Normal"/>
    <tableColumn id="3" xr3:uid="{4CDAB027-D970-460D-AAC2-EB0B9485FD8C}" name="Region" dataDxfId="2" dataCellStyle="Normal"/>
    <tableColumn id="2" xr3:uid="{E218ED8F-68F8-429A-9939-575EF5D8461D}" name="Team" dataCellStyle="Normal">
      <calculatedColumnFormula>_xlfn.CONCAT("Team",Teams[[#This Row],[Region]],Teams[[#This Row],[Seed]])</calculatedColumnFormula>
    </tableColumn>
    <tableColumn id="5" xr3:uid="{5B5B6B66-69E6-43F4-9B60-841171B24FC7}" name="Hyperlink Name" dataDxfId="1">
      <calculatedColumnFormula array="1">_xlfn.CHOOSECOLS(_xlfn.TEXTSPLIT(B2,"/",,TRUE,0,),5)</calculatedColumnFormula>
    </tableColumn>
    <tableColumn id="4" xr3:uid="{5DE08296-6B22-41D3-9B0D-54A014588C20}" name="Logo" dataDxfId="0" dataCellStyle="Normal">
      <calculatedColumnFormula>_xlfn.IMAGE(_xlfn.CONCAT("https://cdn.ssref.net/req/202510241/tlogo/ncaa/",TEXT(Teams[[#This Row],[Hyperlink Name]],),"-2025.png"))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42-BlueGray">
      <a:dk1>
        <a:sysClr val="windowText" lastClr="000000"/>
      </a:dk1>
      <a:lt1>
        <a:sysClr val="window" lastClr="FFFFFF"/>
      </a:lt1>
      <a:dk2>
        <a:srgbClr val="3B4E87"/>
      </a:dk2>
      <a:lt2>
        <a:srgbClr val="EEECE2"/>
      </a:lt2>
      <a:accent1>
        <a:srgbClr val="5E8BCE"/>
      </a:accent1>
      <a:accent2>
        <a:srgbClr val="7F7F7F"/>
      </a:accent2>
      <a:accent3>
        <a:srgbClr val="26AA26"/>
      </a:accent3>
      <a:accent4>
        <a:srgbClr val="7860B4"/>
      </a:accent4>
      <a:accent5>
        <a:srgbClr val="C04E4E"/>
      </a:accent5>
      <a:accent6>
        <a:srgbClr val="846648"/>
      </a:accent6>
      <a:hlink>
        <a:srgbClr val="4C92AE"/>
      </a:hlink>
      <a:folHlink>
        <a:srgbClr val="96969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932D2-531A-431B-92B5-BD115656F419}">
  <dimension ref="A1:F65"/>
  <sheetViews>
    <sheetView workbookViewId="0">
      <pane ySplit="1" topLeftCell="A32" activePane="bottomLeft" state="frozen"/>
      <selection pane="bottomLeft" activeCell="G39" sqref="G39"/>
    </sheetView>
  </sheetViews>
  <sheetFormatPr defaultRowHeight="16.8" customHeight="1" x14ac:dyDescent="0.25"/>
  <cols>
    <col min="1" max="1" width="5.33203125" style="1" bestFit="1" customWidth="1"/>
    <col min="2" max="2" width="11.77734375" style="1" customWidth="1"/>
    <col min="3" max="3" width="26.88671875" customWidth="1"/>
    <col min="4" max="4" width="21.109375" bestFit="1" customWidth="1"/>
    <col min="5" max="5" width="5.44140625" style="1" bestFit="1" customWidth="1"/>
  </cols>
  <sheetData>
    <row r="1" spans="1:6" ht="16.8" customHeight="1" x14ac:dyDescent="0.25">
      <c r="A1" s="21" t="s">
        <v>21</v>
      </c>
      <c r="B1" s="21" t="s">
        <v>23</v>
      </c>
      <c r="C1" s="21" t="s">
        <v>22</v>
      </c>
      <c r="D1" s="21" t="s">
        <v>29</v>
      </c>
      <c r="E1" s="21" t="s">
        <v>27</v>
      </c>
    </row>
    <row r="2" spans="1:6" ht="16.8" customHeight="1" x14ac:dyDescent="0.25">
      <c r="A2" s="1">
        <v>1</v>
      </c>
      <c r="B2" s="1" t="s">
        <v>15</v>
      </c>
      <c r="C2" t="s">
        <v>93</v>
      </c>
      <c r="D2" t="s">
        <v>28</v>
      </c>
      <c r="E2" s="1" t="e" vm="1">
        <f>_xlfn.IMAGE(_xlfn.CONCAT("https://cdn.ssref.net/req/202510241/tlogo/ncaa/",TEXT(Teams[[#This Row],[Hyperlink Name]],),"-2025.png"))</f>
        <v>#VALUE!</v>
      </c>
      <c r="F2" s="66"/>
    </row>
    <row r="3" spans="1:6" ht="16.8" customHeight="1" x14ac:dyDescent="0.25">
      <c r="A3" s="1">
        <v>16</v>
      </c>
      <c r="B3" s="1" t="s">
        <v>15</v>
      </c>
      <c r="C3" t="s">
        <v>94</v>
      </c>
      <c r="D3" t="s">
        <v>31</v>
      </c>
      <c r="E3" s="1" t="e" vm="2">
        <f>_xlfn.IMAGE(_xlfn.CONCAT("https://cdn.ssref.net/req/202510241/tlogo/ncaa/",TEXT(Teams[[#This Row],[Hyperlink Name]],),"-2025.png"))</f>
        <v>#VALUE!</v>
      </c>
    </row>
    <row r="4" spans="1:6" ht="16.8" customHeight="1" x14ac:dyDescent="0.25">
      <c r="A4" s="1">
        <v>8</v>
      </c>
      <c r="B4" s="1" t="s">
        <v>15</v>
      </c>
      <c r="C4" t="s">
        <v>95</v>
      </c>
      <c r="D4" t="s">
        <v>32</v>
      </c>
      <c r="E4" s="1" t="e" vm="3">
        <f>_xlfn.IMAGE(_xlfn.CONCAT("https://cdn.ssref.net/req/202510241/tlogo/ncaa/",TEXT(Teams[[#This Row],[Hyperlink Name]],),"-2025.png"))</f>
        <v>#VALUE!</v>
      </c>
    </row>
    <row r="5" spans="1:6" ht="16.8" customHeight="1" x14ac:dyDescent="0.25">
      <c r="A5" s="1">
        <v>9</v>
      </c>
      <c r="B5" s="1" t="s">
        <v>15</v>
      </c>
      <c r="C5" t="s">
        <v>96</v>
      </c>
      <c r="D5" t="s">
        <v>33</v>
      </c>
      <c r="E5" s="1" t="e" vm="4">
        <f>_xlfn.IMAGE(_xlfn.CONCAT("https://cdn.ssref.net/req/202510241/tlogo/ncaa/",TEXT(Teams[[#This Row],[Hyperlink Name]],),"-2025.png"))</f>
        <v>#VALUE!</v>
      </c>
    </row>
    <row r="6" spans="1:6" ht="16.8" customHeight="1" x14ac:dyDescent="0.25">
      <c r="A6" s="1">
        <v>5</v>
      </c>
      <c r="B6" s="1" t="s">
        <v>15</v>
      </c>
      <c r="C6" t="s">
        <v>97</v>
      </c>
      <c r="D6" t="s">
        <v>34</v>
      </c>
      <c r="E6" s="1" t="e" vm="5">
        <f>_xlfn.IMAGE(_xlfn.CONCAT("https://cdn.ssref.net/req/202510241/tlogo/ncaa/",TEXT(Teams[[#This Row],[Hyperlink Name]],),"-2025.png"))</f>
        <v>#VALUE!</v>
      </c>
    </row>
    <row r="7" spans="1:6" ht="16.8" customHeight="1" x14ac:dyDescent="0.25">
      <c r="A7" s="1">
        <v>12</v>
      </c>
      <c r="B7" s="1" t="s">
        <v>15</v>
      </c>
      <c r="C7" t="s">
        <v>98</v>
      </c>
      <c r="D7" t="s">
        <v>35</v>
      </c>
      <c r="E7" s="1" t="e" vm="6">
        <f>_xlfn.IMAGE(_xlfn.CONCAT("https://cdn.ssref.net/req/202510241/tlogo/ncaa/",TEXT(Teams[[#This Row],[Hyperlink Name]],),"-2025.png"))</f>
        <v>#VALUE!</v>
      </c>
    </row>
    <row r="8" spans="1:6" ht="16.8" customHeight="1" x14ac:dyDescent="0.25">
      <c r="A8" s="1">
        <v>4</v>
      </c>
      <c r="B8" s="1" t="s">
        <v>15</v>
      </c>
      <c r="C8" t="s">
        <v>99</v>
      </c>
      <c r="D8" t="s">
        <v>36</v>
      </c>
      <c r="E8" s="1" t="e" vm="7">
        <f>_xlfn.IMAGE(_xlfn.CONCAT("https://cdn.ssref.net/req/202510241/tlogo/ncaa/",TEXT(Teams[[#This Row],[Hyperlink Name]],),"-2025.png"))</f>
        <v>#VALUE!</v>
      </c>
    </row>
    <row r="9" spans="1:6" ht="16.8" customHeight="1" x14ac:dyDescent="0.25">
      <c r="A9" s="1">
        <v>13</v>
      </c>
      <c r="B9" s="1" t="s">
        <v>15</v>
      </c>
      <c r="C9" t="s">
        <v>100</v>
      </c>
      <c r="D9" t="s">
        <v>37</v>
      </c>
      <c r="E9" s="1" t="e" vm="8">
        <f>_xlfn.IMAGE(_xlfn.CONCAT("https://cdn.ssref.net/req/202510241/tlogo/ncaa/",TEXT(Teams[[#This Row],[Hyperlink Name]],),"-2025.png"))</f>
        <v>#VALUE!</v>
      </c>
    </row>
    <row r="10" spans="1:6" ht="16.8" customHeight="1" x14ac:dyDescent="0.25">
      <c r="A10" s="1">
        <v>6</v>
      </c>
      <c r="B10" s="1" t="s">
        <v>15</v>
      </c>
      <c r="C10" t="s">
        <v>101</v>
      </c>
      <c r="D10" t="s">
        <v>38</v>
      </c>
      <c r="E10" s="1" t="e" vm="9">
        <f>_xlfn.IMAGE(_xlfn.CONCAT("https://cdn.ssref.net/req/202510241/tlogo/ncaa/",TEXT(Teams[[#This Row],[Hyperlink Name]],),"-2025.png"))</f>
        <v>#VALUE!</v>
      </c>
    </row>
    <row r="11" spans="1:6" ht="16.8" customHeight="1" x14ac:dyDescent="0.25">
      <c r="A11" s="1">
        <v>11</v>
      </c>
      <c r="B11" s="1" t="s">
        <v>15</v>
      </c>
      <c r="C11" t="s">
        <v>102</v>
      </c>
      <c r="D11" t="s">
        <v>39</v>
      </c>
      <c r="E11" s="1" t="e" vm="10">
        <f>_xlfn.IMAGE(_xlfn.CONCAT("https://cdn.ssref.net/req/202510241/tlogo/ncaa/",TEXT(Teams[[#This Row],[Hyperlink Name]],),"-2025.png"))</f>
        <v>#VALUE!</v>
      </c>
    </row>
    <row r="12" spans="1:6" ht="16.8" customHeight="1" x14ac:dyDescent="0.25">
      <c r="A12" s="1">
        <v>3</v>
      </c>
      <c r="B12" s="1" t="s">
        <v>15</v>
      </c>
      <c r="C12" t="s">
        <v>103</v>
      </c>
      <c r="D12" t="s">
        <v>30</v>
      </c>
      <c r="E12" s="1" t="e" vm="11">
        <f>_xlfn.IMAGE(_xlfn.CONCAT("https://cdn.ssref.net/req/202510241/tlogo/ncaa/",TEXT(Teams[[#This Row],[Hyperlink Name]],),"-2025.png"))</f>
        <v>#VALUE!</v>
      </c>
    </row>
    <row r="13" spans="1:6" ht="16.8" customHeight="1" x14ac:dyDescent="0.25">
      <c r="A13" s="1">
        <v>14</v>
      </c>
      <c r="B13" s="1" t="s">
        <v>15</v>
      </c>
      <c r="C13" t="s">
        <v>104</v>
      </c>
      <c r="D13" t="s">
        <v>40</v>
      </c>
      <c r="E13" s="1" t="e" vm="12">
        <f>_xlfn.IMAGE(_xlfn.CONCAT("https://cdn.ssref.net/req/202510241/tlogo/ncaa/",TEXT(Teams[[#This Row],[Hyperlink Name]],),"-2025.png"))</f>
        <v>#VALUE!</v>
      </c>
    </row>
    <row r="14" spans="1:6" ht="16.8" customHeight="1" x14ac:dyDescent="0.25">
      <c r="A14" s="1">
        <v>7</v>
      </c>
      <c r="B14" s="1" t="s">
        <v>15</v>
      </c>
      <c r="C14" t="s">
        <v>105</v>
      </c>
      <c r="D14" t="s">
        <v>41</v>
      </c>
      <c r="E14" s="1" t="e" vm="13">
        <f>_xlfn.IMAGE(_xlfn.CONCAT("https://cdn.ssref.net/req/202510241/tlogo/ncaa/",TEXT(Teams[[#This Row],[Hyperlink Name]],),"-2025.png"))</f>
        <v>#VALUE!</v>
      </c>
    </row>
    <row r="15" spans="1:6" ht="16.8" customHeight="1" x14ac:dyDescent="0.25">
      <c r="A15" s="1">
        <v>10</v>
      </c>
      <c r="B15" s="1" t="s">
        <v>15</v>
      </c>
      <c r="C15" t="s">
        <v>106</v>
      </c>
      <c r="D15" t="s">
        <v>42</v>
      </c>
      <c r="E15" s="1" t="e" vm="14">
        <f>_xlfn.IMAGE(_xlfn.CONCAT("https://cdn.ssref.net/req/202510241/tlogo/ncaa/",TEXT(Teams[[#This Row],[Hyperlink Name]],),"-2025.png"))</f>
        <v>#VALUE!</v>
      </c>
    </row>
    <row r="16" spans="1:6" ht="16.8" customHeight="1" x14ac:dyDescent="0.25">
      <c r="A16" s="1">
        <v>2</v>
      </c>
      <c r="B16" s="1" t="s">
        <v>15</v>
      </c>
      <c r="C16" t="s">
        <v>107</v>
      </c>
      <c r="D16" t="s">
        <v>43</v>
      </c>
      <c r="E16" s="1" t="e" vm="15">
        <f>_xlfn.IMAGE(_xlfn.CONCAT("https://cdn.ssref.net/req/202510241/tlogo/ncaa/",TEXT(Teams[[#This Row],[Hyperlink Name]],),"-2025.png"))</f>
        <v>#VALUE!</v>
      </c>
    </row>
    <row r="17" spans="1:5" ht="16.8" customHeight="1" x14ac:dyDescent="0.25">
      <c r="A17" s="1">
        <v>15</v>
      </c>
      <c r="B17" s="1" t="s">
        <v>15</v>
      </c>
      <c r="C17" t="s">
        <v>108</v>
      </c>
      <c r="D17" t="s">
        <v>44</v>
      </c>
      <c r="E17" s="1" t="e" vm="16">
        <f>_xlfn.IMAGE(_xlfn.CONCAT("https://cdn.ssref.net/req/202510241/tlogo/ncaa/",TEXT(Teams[[#This Row],[Hyperlink Name]],),"-2025.png"))</f>
        <v>#VALUE!</v>
      </c>
    </row>
    <row r="18" spans="1:5" ht="16.8" customHeight="1" x14ac:dyDescent="0.25">
      <c r="A18" s="1">
        <v>1</v>
      </c>
      <c r="B18" s="1" t="s">
        <v>4</v>
      </c>
      <c r="C18" t="s">
        <v>109</v>
      </c>
      <c r="D18" t="s">
        <v>45</v>
      </c>
      <c r="E18" s="1" t="e" vm="17">
        <f>_xlfn.IMAGE(_xlfn.CONCAT("https://cdn.ssref.net/req/202510241/tlogo/ncaa/",TEXT(Teams[[#This Row],[Hyperlink Name]],),"-2025.png"))</f>
        <v>#VALUE!</v>
      </c>
    </row>
    <row r="19" spans="1:5" ht="16.8" customHeight="1" x14ac:dyDescent="0.25">
      <c r="A19" s="1">
        <v>16</v>
      </c>
      <c r="B19" s="1" t="s">
        <v>4</v>
      </c>
      <c r="C19" t="s">
        <v>110</v>
      </c>
      <c r="D19" t="s">
        <v>46</v>
      </c>
      <c r="E19" s="1" t="e" vm="18">
        <f>_xlfn.IMAGE(_xlfn.CONCAT("https://cdn.ssref.net/req/202510241/tlogo/ncaa/",TEXT(Teams[[#This Row],[Hyperlink Name]],),"-2025.png"))</f>
        <v>#VALUE!</v>
      </c>
    </row>
    <row r="20" spans="1:5" ht="16.8" customHeight="1" x14ac:dyDescent="0.25">
      <c r="A20" s="1">
        <v>8</v>
      </c>
      <c r="B20" s="1" t="s">
        <v>4</v>
      </c>
      <c r="C20" t="s">
        <v>111</v>
      </c>
      <c r="D20" t="s">
        <v>47</v>
      </c>
      <c r="E20" s="1" t="e" vm="19">
        <f>_xlfn.IMAGE(_xlfn.CONCAT("https://cdn.ssref.net/req/202510241/tlogo/ncaa/",TEXT(Teams[[#This Row],[Hyperlink Name]],),"-2025.png"))</f>
        <v>#VALUE!</v>
      </c>
    </row>
    <row r="21" spans="1:5" ht="16.8" customHeight="1" x14ac:dyDescent="0.25">
      <c r="A21" s="1">
        <v>9</v>
      </c>
      <c r="B21" s="1" t="s">
        <v>4</v>
      </c>
      <c r="C21" t="s">
        <v>112</v>
      </c>
      <c r="D21" t="s">
        <v>48</v>
      </c>
      <c r="E21" s="1" t="e" vm="20">
        <f>_xlfn.IMAGE(_xlfn.CONCAT("https://cdn.ssref.net/req/202510241/tlogo/ncaa/",TEXT(Teams[[#This Row],[Hyperlink Name]],),"-2025.png"))</f>
        <v>#VALUE!</v>
      </c>
    </row>
    <row r="22" spans="1:5" ht="16.8" customHeight="1" x14ac:dyDescent="0.25">
      <c r="A22" s="1">
        <v>5</v>
      </c>
      <c r="B22" s="1" t="s">
        <v>4</v>
      </c>
      <c r="C22" t="s">
        <v>113</v>
      </c>
      <c r="D22" t="s">
        <v>49</v>
      </c>
      <c r="E22" s="1" t="e" vm="21">
        <f>_xlfn.IMAGE(_xlfn.CONCAT("https://cdn.ssref.net/req/202510241/tlogo/ncaa/",TEXT(Teams[[#This Row],[Hyperlink Name]],),"-2025.png"))</f>
        <v>#VALUE!</v>
      </c>
    </row>
    <row r="23" spans="1:5" ht="16.8" customHeight="1" x14ac:dyDescent="0.25">
      <c r="A23" s="1">
        <v>12</v>
      </c>
      <c r="B23" s="1" t="s">
        <v>4</v>
      </c>
      <c r="C23" t="s">
        <v>114</v>
      </c>
      <c r="D23" t="s">
        <v>50</v>
      </c>
      <c r="E23" s="1" t="e" vm="22">
        <f>_xlfn.IMAGE(_xlfn.CONCAT("https://cdn.ssref.net/req/202510241/tlogo/ncaa/",TEXT(Teams[[#This Row],[Hyperlink Name]],),"-2025.png"))</f>
        <v>#VALUE!</v>
      </c>
    </row>
    <row r="24" spans="1:5" ht="16.8" customHeight="1" x14ac:dyDescent="0.25">
      <c r="A24" s="1">
        <v>4</v>
      </c>
      <c r="B24" s="1" t="s">
        <v>4</v>
      </c>
      <c r="C24" t="s">
        <v>115</v>
      </c>
      <c r="D24" t="s">
        <v>51</v>
      </c>
      <c r="E24" s="1" t="e" vm="23">
        <f>_xlfn.IMAGE(_xlfn.CONCAT("https://cdn.ssref.net/req/202510241/tlogo/ncaa/",TEXT(Teams[[#This Row],[Hyperlink Name]],),"-2025.png"))</f>
        <v>#VALUE!</v>
      </c>
    </row>
    <row r="25" spans="1:5" ht="16.8" customHeight="1" x14ac:dyDescent="0.25">
      <c r="A25" s="1">
        <v>13</v>
      </c>
      <c r="B25" s="1" t="s">
        <v>4</v>
      </c>
      <c r="C25" t="s">
        <v>116</v>
      </c>
      <c r="D25" t="s">
        <v>52</v>
      </c>
      <c r="E25" s="1" t="e" vm="24">
        <f>_xlfn.IMAGE(_xlfn.CONCAT("https://cdn.ssref.net/req/202510241/tlogo/ncaa/",TEXT(Teams[[#This Row],[Hyperlink Name]],),"-2025.png"))</f>
        <v>#VALUE!</v>
      </c>
    </row>
    <row r="26" spans="1:5" ht="16.8" customHeight="1" x14ac:dyDescent="0.25">
      <c r="A26" s="1">
        <v>6</v>
      </c>
      <c r="B26" s="1" t="s">
        <v>4</v>
      </c>
      <c r="C26" t="s">
        <v>117</v>
      </c>
      <c r="D26" t="s">
        <v>53</v>
      </c>
      <c r="E26" s="1" t="e" vm="25">
        <f>_xlfn.IMAGE(_xlfn.CONCAT("https://cdn.ssref.net/req/202510241/tlogo/ncaa/",TEXT(Teams[[#This Row],[Hyperlink Name]],),"-2025.png"))</f>
        <v>#VALUE!</v>
      </c>
    </row>
    <row r="27" spans="1:5" ht="16.8" customHeight="1" x14ac:dyDescent="0.25">
      <c r="A27" s="1">
        <v>11</v>
      </c>
      <c r="B27" s="1" t="s">
        <v>4</v>
      </c>
      <c r="C27" t="s">
        <v>118</v>
      </c>
      <c r="D27" t="s">
        <v>54</v>
      </c>
      <c r="E27" s="1" t="e" vm="26">
        <f>_xlfn.IMAGE(_xlfn.CONCAT("https://cdn.ssref.net/req/202510241/tlogo/ncaa/",TEXT(Teams[[#This Row],[Hyperlink Name]],),"-2025.png"))</f>
        <v>#VALUE!</v>
      </c>
    </row>
    <row r="28" spans="1:5" ht="16.8" customHeight="1" x14ac:dyDescent="0.25">
      <c r="A28" s="1">
        <v>3</v>
      </c>
      <c r="B28" s="1" t="s">
        <v>4</v>
      </c>
      <c r="C28" t="s">
        <v>119</v>
      </c>
      <c r="D28" t="s">
        <v>55</v>
      </c>
      <c r="E28" s="1" t="e" vm="27">
        <f>_xlfn.IMAGE(_xlfn.CONCAT("https://cdn.ssref.net/req/202510241/tlogo/ncaa/",TEXT(Teams[[#This Row],[Hyperlink Name]],),"-2025.png"))</f>
        <v>#VALUE!</v>
      </c>
    </row>
    <row r="29" spans="1:5" ht="16.8" customHeight="1" x14ac:dyDescent="0.25">
      <c r="A29" s="1">
        <v>14</v>
      </c>
      <c r="B29" s="1" t="s">
        <v>4</v>
      </c>
      <c r="C29" t="s">
        <v>120</v>
      </c>
      <c r="D29" t="s">
        <v>56</v>
      </c>
      <c r="E29" s="1" t="e" vm="28">
        <f>_xlfn.IMAGE(_xlfn.CONCAT("https://cdn.ssref.net/req/202510241/tlogo/ncaa/",TEXT(Teams[[#This Row],[Hyperlink Name]],),"-2025.png"))</f>
        <v>#VALUE!</v>
      </c>
    </row>
    <row r="30" spans="1:5" ht="16.8" customHeight="1" x14ac:dyDescent="0.25">
      <c r="A30" s="1">
        <v>7</v>
      </c>
      <c r="B30" s="1" t="s">
        <v>4</v>
      </c>
      <c r="C30" t="s">
        <v>121</v>
      </c>
      <c r="D30" t="s">
        <v>57</v>
      </c>
      <c r="E30" s="1" t="e" vm="29">
        <f>_xlfn.IMAGE(_xlfn.CONCAT("https://cdn.ssref.net/req/202510241/tlogo/ncaa/",TEXT(Teams[[#This Row],[Hyperlink Name]],),"-2025.png"))</f>
        <v>#VALUE!</v>
      </c>
    </row>
    <row r="31" spans="1:5" ht="16.8" customHeight="1" x14ac:dyDescent="0.25">
      <c r="A31" s="1">
        <v>10</v>
      </c>
      <c r="B31" s="1" t="s">
        <v>4</v>
      </c>
      <c r="C31" t="s">
        <v>122</v>
      </c>
      <c r="D31" t="s">
        <v>58</v>
      </c>
      <c r="E31" s="1" t="e" vm="30">
        <f>_xlfn.IMAGE(_xlfn.CONCAT("https://cdn.ssref.net/req/202510241/tlogo/ncaa/",TEXT(Teams[[#This Row],[Hyperlink Name]],),"-2025.png"))</f>
        <v>#VALUE!</v>
      </c>
    </row>
    <row r="32" spans="1:5" ht="16.8" customHeight="1" x14ac:dyDescent="0.25">
      <c r="A32" s="1">
        <v>2</v>
      </c>
      <c r="B32" s="1" t="s">
        <v>4</v>
      </c>
      <c r="C32" t="s">
        <v>123</v>
      </c>
      <c r="D32" t="s">
        <v>59</v>
      </c>
      <c r="E32" s="1" t="e" vm="31">
        <f>_xlfn.IMAGE(_xlfn.CONCAT("https://cdn.ssref.net/req/202510241/tlogo/ncaa/",TEXT(Teams[[#This Row],[Hyperlink Name]],),"-2025.png"))</f>
        <v>#VALUE!</v>
      </c>
    </row>
    <row r="33" spans="1:5" ht="16.8" customHeight="1" x14ac:dyDescent="0.25">
      <c r="A33" s="1">
        <v>15</v>
      </c>
      <c r="B33" s="1" t="s">
        <v>4</v>
      </c>
      <c r="C33" t="s">
        <v>124</v>
      </c>
      <c r="D33" t="s">
        <v>60</v>
      </c>
      <c r="E33" s="1" t="e" vm="32">
        <f>_xlfn.IMAGE(_xlfn.CONCAT("https://cdn.ssref.net/req/202510241/tlogo/ncaa/",TEXT(Teams[[#This Row],[Hyperlink Name]],),"-2025.png"))</f>
        <v>#VALUE!</v>
      </c>
    </row>
    <row r="34" spans="1:5" ht="16.8" customHeight="1" x14ac:dyDescent="0.25">
      <c r="A34" s="1">
        <v>1</v>
      </c>
      <c r="B34" s="1" t="s">
        <v>3</v>
      </c>
      <c r="C34" t="s">
        <v>125</v>
      </c>
      <c r="D34" t="s">
        <v>61</v>
      </c>
      <c r="E34" s="1" t="e" vm="33">
        <f>_xlfn.IMAGE(_xlfn.CONCAT("https://cdn.ssref.net/req/202510241/tlogo/ncaa/",TEXT(Teams[[#This Row],[Hyperlink Name]],),"-2025.png"))</f>
        <v>#VALUE!</v>
      </c>
    </row>
    <row r="35" spans="1:5" ht="16.8" customHeight="1" x14ac:dyDescent="0.25">
      <c r="A35" s="1">
        <v>16</v>
      </c>
      <c r="B35" s="1" t="s">
        <v>3</v>
      </c>
      <c r="C35" t="s">
        <v>126</v>
      </c>
      <c r="D35" t="s">
        <v>62</v>
      </c>
      <c r="E35" s="1" t="e" vm="34">
        <f>_xlfn.IMAGE(_xlfn.CONCAT("https://cdn.ssref.net/req/202510241/tlogo/ncaa/",TEXT(Teams[[#This Row],[Hyperlink Name]],),"-2025.png"))</f>
        <v>#VALUE!</v>
      </c>
    </row>
    <row r="36" spans="1:5" ht="16.8" customHeight="1" x14ac:dyDescent="0.25">
      <c r="A36" s="1">
        <v>8</v>
      </c>
      <c r="B36" s="1" t="s">
        <v>3</v>
      </c>
      <c r="C36" t="s">
        <v>127</v>
      </c>
      <c r="D36" t="s">
        <v>63</v>
      </c>
      <c r="E36" s="1" t="e" vm="35">
        <f>_xlfn.IMAGE(_xlfn.CONCAT("https://cdn.ssref.net/req/202510241/tlogo/ncaa/",TEXT(Teams[[#This Row],[Hyperlink Name]],),"-2025.png"))</f>
        <v>#VALUE!</v>
      </c>
    </row>
    <row r="37" spans="1:5" ht="16.8" customHeight="1" x14ac:dyDescent="0.25">
      <c r="A37" s="1">
        <v>9</v>
      </c>
      <c r="B37" s="1" t="s">
        <v>3</v>
      </c>
      <c r="C37" t="s">
        <v>128</v>
      </c>
      <c r="D37" t="s">
        <v>64</v>
      </c>
      <c r="E37" s="1" t="e" vm="36">
        <f>_xlfn.IMAGE(_xlfn.CONCAT("https://cdn.ssref.net/req/202510241/tlogo/ncaa/",TEXT(Teams[[#This Row],[Hyperlink Name]],),"-2025.png"))</f>
        <v>#VALUE!</v>
      </c>
    </row>
    <row r="38" spans="1:5" ht="16.8" customHeight="1" x14ac:dyDescent="0.25">
      <c r="A38" s="1">
        <v>5</v>
      </c>
      <c r="B38" s="1" t="s">
        <v>3</v>
      </c>
      <c r="C38" t="s">
        <v>129</v>
      </c>
      <c r="D38" t="s">
        <v>65</v>
      </c>
      <c r="E38" s="1" t="e" vm="37">
        <f>_xlfn.IMAGE(_xlfn.CONCAT("https://cdn.ssref.net/req/202510241/tlogo/ncaa/",TEXT(Teams[[#This Row],[Hyperlink Name]],),"-2025.png"))</f>
        <v>#VALUE!</v>
      </c>
    </row>
    <row r="39" spans="1:5" ht="16.8" customHeight="1" x14ac:dyDescent="0.25">
      <c r="A39" s="1">
        <v>12</v>
      </c>
      <c r="B39" s="1" t="s">
        <v>3</v>
      </c>
      <c r="C39" t="s">
        <v>130</v>
      </c>
      <c r="D39" t="s">
        <v>66</v>
      </c>
      <c r="E39" s="1" t="e" vm="38">
        <f>_xlfn.IMAGE(_xlfn.CONCAT("https://cdn.ssref.net/req/202510241/tlogo/ncaa/",TEXT(Teams[[#This Row],[Hyperlink Name]],),"-2025.png"))</f>
        <v>#VALUE!</v>
      </c>
    </row>
    <row r="40" spans="1:5" ht="16.8" customHeight="1" x14ac:dyDescent="0.25">
      <c r="A40" s="1">
        <v>4</v>
      </c>
      <c r="B40" s="1" t="s">
        <v>3</v>
      </c>
      <c r="C40" t="s">
        <v>131</v>
      </c>
      <c r="D40" t="s">
        <v>67</v>
      </c>
      <c r="E40" s="1" t="e" vm="39">
        <f>_xlfn.IMAGE(_xlfn.CONCAT("https://cdn.ssref.net/req/202510241/tlogo/ncaa/",TEXT(Teams[[#This Row],[Hyperlink Name]],),"-2025.png"))</f>
        <v>#VALUE!</v>
      </c>
    </row>
    <row r="41" spans="1:5" ht="16.8" customHeight="1" x14ac:dyDescent="0.25">
      <c r="A41" s="1">
        <v>13</v>
      </c>
      <c r="B41" s="1" t="s">
        <v>3</v>
      </c>
      <c r="C41" t="s">
        <v>132</v>
      </c>
      <c r="D41" t="s">
        <v>68</v>
      </c>
      <c r="E41" s="1" t="e" vm="40">
        <f>_xlfn.IMAGE(_xlfn.CONCAT("https://cdn.ssref.net/req/202510241/tlogo/ncaa/",TEXT(Teams[[#This Row],[Hyperlink Name]],),"-2025.png"))</f>
        <v>#VALUE!</v>
      </c>
    </row>
    <row r="42" spans="1:5" ht="16.8" customHeight="1" x14ac:dyDescent="0.25">
      <c r="A42" s="1">
        <v>6</v>
      </c>
      <c r="B42" s="1" t="s">
        <v>3</v>
      </c>
      <c r="C42" t="s">
        <v>133</v>
      </c>
      <c r="D42" t="s">
        <v>69</v>
      </c>
      <c r="E42" s="1" t="e" vm="41">
        <f>_xlfn.IMAGE(_xlfn.CONCAT("https://cdn.ssref.net/req/202510241/tlogo/ncaa/",TEXT(Teams[[#This Row],[Hyperlink Name]],),"-2025.png"))</f>
        <v>#VALUE!</v>
      </c>
    </row>
    <row r="43" spans="1:5" ht="16.8" customHeight="1" x14ac:dyDescent="0.25">
      <c r="A43" s="1">
        <v>11</v>
      </c>
      <c r="B43" s="1" t="s">
        <v>3</v>
      </c>
      <c r="C43" t="s">
        <v>134</v>
      </c>
      <c r="D43" t="s">
        <v>70</v>
      </c>
      <c r="E43" s="1" t="e" vm="42">
        <f>_xlfn.IMAGE(_xlfn.CONCAT("https://cdn.ssref.net/req/202510241/tlogo/ncaa/",TEXT(Teams[[#This Row],[Hyperlink Name]],),"-2025.png"))</f>
        <v>#VALUE!</v>
      </c>
    </row>
    <row r="44" spans="1:5" ht="16.8" customHeight="1" x14ac:dyDescent="0.25">
      <c r="A44" s="1">
        <v>3</v>
      </c>
      <c r="B44" s="1" t="s">
        <v>3</v>
      </c>
      <c r="C44" t="s">
        <v>135</v>
      </c>
      <c r="D44" t="s">
        <v>71</v>
      </c>
      <c r="E44" s="1" t="e" vm="43">
        <f>_xlfn.IMAGE(_xlfn.CONCAT("https://cdn.ssref.net/req/202510241/tlogo/ncaa/",TEXT(Teams[[#This Row],[Hyperlink Name]],),"-2025.png"))</f>
        <v>#VALUE!</v>
      </c>
    </row>
    <row r="45" spans="1:5" ht="16.8" customHeight="1" x14ac:dyDescent="0.25">
      <c r="A45" s="1">
        <v>14</v>
      </c>
      <c r="B45" s="1" t="s">
        <v>3</v>
      </c>
      <c r="C45" t="s">
        <v>136</v>
      </c>
      <c r="D45" t="s">
        <v>72</v>
      </c>
      <c r="E45" s="1" t="e" vm="44">
        <f>_xlfn.IMAGE(_xlfn.CONCAT("https://cdn.ssref.net/req/202510241/tlogo/ncaa/",TEXT(Teams[[#This Row],[Hyperlink Name]],),"-2025.png"))</f>
        <v>#VALUE!</v>
      </c>
    </row>
    <row r="46" spans="1:5" ht="16.8" customHeight="1" x14ac:dyDescent="0.25">
      <c r="A46" s="1">
        <v>7</v>
      </c>
      <c r="B46" s="1" t="s">
        <v>3</v>
      </c>
      <c r="C46" t="s">
        <v>137</v>
      </c>
      <c r="D46" t="s">
        <v>73</v>
      </c>
      <c r="E46" s="1" t="e" vm="45">
        <f>_xlfn.IMAGE(_xlfn.CONCAT("https://cdn.ssref.net/req/202510241/tlogo/ncaa/",TEXT(Teams[[#This Row],[Hyperlink Name]],),"-2025.png"))</f>
        <v>#VALUE!</v>
      </c>
    </row>
    <row r="47" spans="1:5" ht="16.8" customHeight="1" x14ac:dyDescent="0.25">
      <c r="A47" s="1">
        <v>10</v>
      </c>
      <c r="B47" s="1" t="s">
        <v>3</v>
      </c>
      <c r="C47" t="s">
        <v>138</v>
      </c>
      <c r="D47" t="s">
        <v>74</v>
      </c>
      <c r="E47" s="1" t="e" vm="46">
        <f>_xlfn.IMAGE(_xlfn.CONCAT("https://cdn.ssref.net/req/202510241/tlogo/ncaa/",TEXT(Teams[[#This Row],[Hyperlink Name]],),"-2025.png"))</f>
        <v>#VALUE!</v>
      </c>
    </row>
    <row r="48" spans="1:5" ht="16.8" customHeight="1" x14ac:dyDescent="0.25">
      <c r="A48" s="1">
        <v>2</v>
      </c>
      <c r="B48" s="1" t="s">
        <v>3</v>
      </c>
      <c r="C48" t="s">
        <v>139</v>
      </c>
      <c r="D48" t="s">
        <v>75</v>
      </c>
      <c r="E48" s="1" t="e" vm="47">
        <f>_xlfn.IMAGE(_xlfn.CONCAT("https://cdn.ssref.net/req/202510241/tlogo/ncaa/",TEXT(Teams[[#This Row],[Hyperlink Name]],),"-2025.png"))</f>
        <v>#VALUE!</v>
      </c>
    </row>
    <row r="49" spans="1:5" ht="16.8" customHeight="1" x14ac:dyDescent="0.25">
      <c r="A49" s="1">
        <v>15</v>
      </c>
      <c r="B49" s="1" t="s">
        <v>3</v>
      </c>
      <c r="C49" t="s">
        <v>140</v>
      </c>
      <c r="D49" t="s">
        <v>76</v>
      </c>
      <c r="E49" s="1" t="e" vm="48">
        <f>_xlfn.IMAGE(_xlfn.CONCAT("https://cdn.ssref.net/req/202510241/tlogo/ncaa/",TEXT(Teams[[#This Row],[Hyperlink Name]],),"-2025.png"))</f>
        <v>#VALUE!</v>
      </c>
    </row>
    <row r="50" spans="1:5" ht="16.8" customHeight="1" x14ac:dyDescent="0.25">
      <c r="A50" s="1">
        <v>1</v>
      </c>
      <c r="B50" s="1" t="s">
        <v>14</v>
      </c>
      <c r="C50" t="s">
        <v>141</v>
      </c>
      <c r="D50" t="s">
        <v>77</v>
      </c>
      <c r="E50" s="1" t="e" vm="49">
        <f>_xlfn.IMAGE(_xlfn.CONCAT("https://cdn.ssref.net/req/202510241/tlogo/ncaa/",TEXT(Teams[[#This Row],[Hyperlink Name]],),"-2025.png"))</f>
        <v>#VALUE!</v>
      </c>
    </row>
    <row r="51" spans="1:5" ht="16.8" customHeight="1" x14ac:dyDescent="0.25">
      <c r="A51" s="1">
        <v>16</v>
      </c>
      <c r="B51" s="1" t="s">
        <v>14</v>
      </c>
      <c r="C51" t="s">
        <v>142</v>
      </c>
      <c r="D51" t="s">
        <v>78</v>
      </c>
      <c r="E51" s="1" t="e" vm="50">
        <f>_xlfn.IMAGE(_xlfn.CONCAT("https://cdn.ssref.net/req/202510241/tlogo/ncaa/",TEXT(Teams[[#This Row],[Hyperlink Name]],),"-2025.png"))</f>
        <v>#VALUE!</v>
      </c>
    </row>
    <row r="52" spans="1:5" ht="16.8" customHeight="1" x14ac:dyDescent="0.25">
      <c r="A52" s="1">
        <v>8</v>
      </c>
      <c r="B52" s="1" t="s">
        <v>14</v>
      </c>
      <c r="C52" t="s">
        <v>143</v>
      </c>
      <c r="D52" t="s">
        <v>79</v>
      </c>
      <c r="E52" s="1" t="e" vm="51">
        <f>_xlfn.IMAGE(_xlfn.CONCAT("https://cdn.ssref.net/req/202510241/tlogo/ncaa/",TEXT(Teams[[#This Row],[Hyperlink Name]],),"-2025.png"))</f>
        <v>#VALUE!</v>
      </c>
    </row>
    <row r="53" spans="1:5" ht="16.8" customHeight="1" x14ac:dyDescent="0.25">
      <c r="A53" s="1">
        <v>9</v>
      </c>
      <c r="B53" s="1" t="s">
        <v>14</v>
      </c>
      <c r="C53" t="s">
        <v>144</v>
      </c>
      <c r="D53" t="s">
        <v>80</v>
      </c>
      <c r="E53" s="1" t="e" vm="52">
        <f>_xlfn.IMAGE(_xlfn.CONCAT("https://cdn.ssref.net/req/202510241/tlogo/ncaa/",TEXT(Teams[[#This Row],[Hyperlink Name]],),"-2025.png"))</f>
        <v>#VALUE!</v>
      </c>
    </row>
    <row r="54" spans="1:5" ht="16.8" customHeight="1" x14ac:dyDescent="0.25">
      <c r="A54" s="1">
        <v>5</v>
      </c>
      <c r="B54" s="1" t="s">
        <v>14</v>
      </c>
      <c r="C54" t="s">
        <v>145</v>
      </c>
      <c r="D54" t="s">
        <v>81</v>
      </c>
      <c r="E54" s="1" t="e" vm="53">
        <f>_xlfn.IMAGE(_xlfn.CONCAT("https://cdn.ssref.net/req/202510241/tlogo/ncaa/",TEXT(Teams[[#This Row],[Hyperlink Name]],),"-2025.png"))</f>
        <v>#VALUE!</v>
      </c>
    </row>
    <row r="55" spans="1:5" ht="16.8" customHeight="1" x14ac:dyDescent="0.25">
      <c r="A55" s="1">
        <v>12</v>
      </c>
      <c r="B55" s="1" t="s">
        <v>14</v>
      </c>
      <c r="C55" t="s">
        <v>146</v>
      </c>
      <c r="D55" t="s">
        <v>82</v>
      </c>
      <c r="E55" s="1" t="e" vm="54">
        <f>_xlfn.IMAGE(_xlfn.CONCAT("https://cdn.ssref.net/req/202510241/tlogo/ncaa/",TEXT(Teams[[#This Row],[Hyperlink Name]],),"-2025.png"))</f>
        <v>#VALUE!</v>
      </c>
    </row>
    <row r="56" spans="1:5" ht="16.8" customHeight="1" x14ac:dyDescent="0.25">
      <c r="A56" s="1">
        <v>4</v>
      </c>
      <c r="B56" s="1" t="s">
        <v>14</v>
      </c>
      <c r="C56" t="s">
        <v>147</v>
      </c>
      <c r="D56" t="s">
        <v>83</v>
      </c>
      <c r="E56" s="1" t="e" vm="55">
        <f>_xlfn.IMAGE(_xlfn.CONCAT("https://cdn.ssref.net/req/202510241/tlogo/ncaa/",TEXT(Teams[[#This Row],[Hyperlink Name]],),"-2025.png"))</f>
        <v>#VALUE!</v>
      </c>
    </row>
    <row r="57" spans="1:5" ht="16.8" customHeight="1" x14ac:dyDescent="0.25">
      <c r="A57" s="1">
        <v>13</v>
      </c>
      <c r="B57" s="1" t="s">
        <v>14</v>
      </c>
      <c r="C57" t="s">
        <v>148</v>
      </c>
      <c r="D57" t="s">
        <v>84</v>
      </c>
      <c r="E57" s="1" t="e" vm="56">
        <f>_xlfn.IMAGE(_xlfn.CONCAT("https://cdn.ssref.net/req/202510241/tlogo/ncaa/",TEXT(Teams[[#This Row],[Hyperlink Name]],),"-2025.png"))</f>
        <v>#VALUE!</v>
      </c>
    </row>
    <row r="58" spans="1:5" ht="16.8" customHeight="1" x14ac:dyDescent="0.25">
      <c r="A58" s="1">
        <v>6</v>
      </c>
      <c r="B58" s="1" t="s">
        <v>14</v>
      </c>
      <c r="C58" t="s">
        <v>149</v>
      </c>
      <c r="D58" t="s">
        <v>85</v>
      </c>
      <c r="E58" s="1" t="e" vm="57">
        <f>_xlfn.IMAGE(_xlfn.CONCAT("https://cdn.ssref.net/req/202510241/tlogo/ncaa/",TEXT(Teams[[#This Row],[Hyperlink Name]],),"-2025.png"))</f>
        <v>#VALUE!</v>
      </c>
    </row>
    <row r="59" spans="1:5" ht="16.8" customHeight="1" x14ac:dyDescent="0.25">
      <c r="A59" s="1">
        <v>11</v>
      </c>
      <c r="B59" s="1" t="s">
        <v>14</v>
      </c>
      <c r="C59" t="s">
        <v>150</v>
      </c>
      <c r="D59" t="s">
        <v>86</v>
      </c>
      <c r="E59" s="1" t="e" vm="58">
        <f>_xlfn.IMAGE(_xlfn.CONCAT("https://cdn.ssref.net/req/202510241/tlogo/ncaa/",TEXT(Teams[[#This Row],[Hyperlink Name]],),"-2025.png"))</f>
        <v>#VALUE!</v>
      </c>
    </row>
    <row r="60" spans="1:5" ht="16.8" customHeight="1" x14ac:dyDescent="0.25">
      <c r="A60" s="1">
        <v>3</v>
      </c>
      <c r="B60" s="1" t="s">
        <v>14</v>
      </c>
      <c r="C60" t="s">
        <v>151</v>
      </c>
      <c r="D60" t="s">
        <v>87</v>
      </c>
      <c r="E60" s="1" t="e" vm="59">
        <f>_xlfn.IMAGE(_xlfn.CONCAT("https://cdn.ssref.net/req/202510241/tlogo/ncaa/",TEXT(Teams[[#This Row],[Hyperlink Name]],),"-2025.png"))</f>
        <v>#VALUE!</v>
      </c>
    </row>
    <row r="61" spans="1:5" ht="16.8" customHeight="1" x14ac:dyDescent="0.25">
      <c r="A61" s="1">
        <v>14</v>
      </c>
      <c r="B61" s="1" t="s">
        <v>14</v>
      </c>
      <c r="C61" t="s">
        <v>152</v>
      </c>
      <c r="D61" t="s">
        <v>88</v>
      </c>
      <c r="E61" s="1" t="e" vm="60">
        <f>_xlfn.IMAGE(_xlfn.CONCAT("https://cdn.ssref.net/req/202510241/tlogo/ncaa/",TEXT(Teams[[#This Row],[Hyperlink Name]],),"-2025.png"))</f>
        <v>#VALUE!</v>
      </c>
    </row>
    <row r="62" spans="1:5" ht="16.8" customHeight="1" x14ac:dyDescent="0.25">
      <c r="A62" s="1">
        <v>7</v>
      </c>
      <c r="B62" s="1" t="s">
        <v>14</v>
      </c>
      <c r="C62" t="s">
        <v>153</v>
      </c>
      <c r="D62" t="s">
        <v>89</v>
      </c>
      <c r="E62" s="1" t="e" vm="61">
        <f>_xlfn.IMAGE(_xlfn.CONCAT("https://cdn.ssref.net/req/202510241/tlogo/ncaa/",TEXT(Teams[[#This Row],[Hyperlink Name]],),"-2025.png"))</f>
        <v>#VALUE!</v>
      </c>
    </row>
    <row r="63" spans="1:5" ht="16.8" customHeight="1" x14ac:dyDescent="0.25">
      <c r="A63" s="1">
        <v>10</v>
      </c>
      <c r="B63" s="1" t="s">
        <v>14</v>
      </c>
      <c r="C63" t="s">
        <v>154</v>
      </c>
      <c r="D63" t="s">
        <v>90</v>
      </c>
      <c r="E63" s="1" t="e" vm="62">
        <f>_xlfn.IMAGE(_xlfn.CONCAT("https://cdn.ssref.net/req/202510241/tlogo/ncaa/",TEXT(Teams[[#This Row],[Hyperlink Name]],),"-2025.png"))</f>
        <v>#VALUE!</v>
      </c>
    </row>
    <row r="64" spans="1:5" ht="16.8" customHeight="1" x14ac:dyDescent="0.25">
      <c r="A64" s="1">
        <v>2</v>
      </c>
      <c r="B64" s="1" t="s">
        <v>14</v>
      </c>
      <c r="C64" t="s">
        <v>155</v>
      </c>
      <c r="D64" t="s">
        <v>91</v>
      </c>
      <c r="E64" s="1" t="e" vm="63">
        <f>_xlfn.IMAGE(_xlfn.CONCAT("https://cdn.ssref.net/req/202510241/tlogo/ncaa/",TEXT(Teams[[#This Row],[Hyperlink Name]],),"-2025.png"))</f>
        <v>#VALUE!</v>
      </c>
    </row>
    <row r="65" spans="1:5" ht="16.8" customHeight="1" x14ac:dyDescent="0.25">
      <c r="A65" s="1">
        <v>15</v>
      </c>
      <c r="B65" s="1" t="s">
        <v>14</v>
      </c>
      <c r="C65" t="s">
        <v>156</v>
      </c>
      <c r="D65" t="s">
        <v>92</v>
      </c>
      <c r="E65" s="1" t="e" vm="64">
        <f>_xlfn.IMAGE(_xlfn.CONCAT("https://cdn.ssref.net/req/202510241/tlogo/ncaa/",TEXT(Teams[[#This Row],[Hyperlink Name]],),"-2025.png"))</f>
        <v>#VALUE!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W75"/>
  <sheetViews>
    <sheetView showGridLines="0" topLeftCell="E1" zoomScale="85" zoomScaleNormal="85" workbookViewId="0">
      <pane ySplit="4" topLeftCell="A5" activePane="bottomLeft" state="frozen"/>
      <selection activeCell="E1" sqref="E1"/>
      <selection pane="bottomLeft" activeCell="Q24" sqref="Q24"/>
    </sheetView>
  </sheetViews>
  <sheetFormatPr defaultColWidth="0" defaultRowHeight="13.2" zeroHeight="1" x14ac:dyDescent="0.25"/>
  <cols>
    <col min="1" max="1" width="8.109375" style="91" hidden="1" customWidth="1"/>
    <col min="2" max="4" width="8.88671875" style="91" hidden="1" customWidth="1"/>
    <col min="5" max="5" width="9.33203125" style="81" customWidth="1"/>
    <col min="6" max="6" width="5.88671875" style="81" bestFit="1" customWidth="1"/>
    <col min="7" max="7" width="22.21875" style="172" customWidth="1"/>
    <col min="8" max="8" width="2.6640625" style="173" bestFit="1" customWidth="1"/>
    <col min="9" max="9" width="22.21875" style="174" customWidth="1"/>
    <col min="10" max="10" width="5.88671875" style="81" bestFit="1" customWidth="1"/>
    <col min="11" max="11" width="5.5546875" style="174" customWidth="1"/>
    <col min="12" max="12" width="10.6640625" style="174" customWidth="1"/>
    <col min="13" max="13" width="5.5546875" style="174" customWidth="1"/>
    <col min="14" max="14" width="10.6640625" style="174" customWidth="1"/>
    <col min="15" max="15" width="24.5546875" style="174" customWidth="1"/>
    <col min="16" max="16" width="6" style="81" customWidth="1"/>
    <col min="17" max="17" width="60.77734375" style="81" customWidth="1"/>
    <col min="18" max="18" width="8.88671875" style="6" hidden="1" customWidth="1"/>
    <col min="19" max="19" width="3.5546875" style="6" customWidth="1"/>
    <col min="20" max="20" width="9.109375" style="6" customWidth="1"/>
    <col min="21" max="22" width="3.5546875" style="6" hidden="1"/>
    <col min="23" max="23" width="0" style="6" hidden="1"/>
    <col min="24" max="16384" width="9.109375" style="6" hidden="1"/>
  </cols>
  <sheetData>
    <row r="1" spans="1:19" s="89" customFormat="1" ht="6" customHeight="1" x14ac:dyDescent="0.25">
      <c r="A1" s="85"/>
      <c r="B1" s="85"/>
      <c r="C1" s="85"/>
      <c r="D1" s="85"/>
      <c r="E1" s="80"/>
      <c r="F1" s="80"/>
      <c r="G1" s="86" t="s">
        <v>13</v>
      </c>
      <c r="H1" s="87"/>
      <c r="I1" s="88"/>
      <c r="J1" s="80"/>
      <c r="K1" s="88"/>
      <c r="L1" s="88"/>
      <c r="M1" s="88"/>
      <c r="N1" s="88"/>
      <c r="O1" s="88"/>
      <c r="P1" s="80"/>
      <c r="Q1" s="80"/>
      <c r="S1" s="89" t="s">
        <v>26</v>
      </c>
    </row>
    <row r="2" spans="1:19" s="89" customFormat="1" ht="6" customHeight="1" thickBot="1" x14ac:dyDescent="0.3">
      <c r="A2" s="85"/>
      <c r="B2" s="85"/>
      <c r="C2" s="85"/>
      <c r="D2" s="85"/>
      <c r="E2" s="80"/>
      <c r="F2" s="80"/>
      <c r="G2" s="90"/>
      <c r="H2" s="87"/>
      <c r="I2" s="88"/>
      <c r="J2" s="80"/>
      <c r="K2" s="88"/>
      <c r="L2" s="88"/>
      <c r="M2" s="88"/>
      <c r="N2" s="88"/>
      <c r="O2" s="88"/>
      <c r="P2" s="80"/>
      <c r="Q2" s="80"/>
    </row>
    <row r="3" spans="1:19" ht="13.8" x14ac:dyDescent="0.25">
      <c r="A3" s="279"/>
      <c r="B3" s="280"/>
      <c r="C3" s="280" t="s">
        <v>12</v>
      </c>
      <c r="D3" s="281" t="s">
        <v>11</v>
      </c>
      <c r="E3" s="259" t="s">
        <v>10</v>
      </c>
      <c r="F3" s="257" t="s">
        <v>21</v>
      </c>
      <c r="G3" s="261" t="s">
        <v>157</v>
      </c>
      <c r="H3" s="261"/>
      <c r="I3" s="261"/>
      <c r="J3" s="257" t="s">
        <v>21</v>
      </c>
      <c r="K3" s="257" t="s">
        <v>24</v>
      </c>
      <c r="L3" s="257"/>
      <c r="M3" s="257" t="s">
        <v>25</v>
      </c>
      <c r="N3" s="257"/>
      <c r="O3" s="257" t="s">
        <v>8</v>
      </c>
      <c r="P3" s="202"/>
      <c r="Q3" s="257" t="s">
        <v>158</v>
      </c>
    </row>
    <row r="4" spans="1:19" ht="14.4" thickBot="1" x14ac:dyDescent="0.3">
      <c r="A4" s="282"/>
      <c r="B4" s="283"/>
      <c r="C4" s="283"/>
      <c r="D4" s="284"/>
      <c r="E4" s="260"/>
      <c r="F4" s="258"/>
      <c r="G4" s="262"/>
      <c r="H4" s="262"/>
      <c r="I4" s="262"/>
      <c r="J4" s="258"/>
      <c r="K4" s="258"/>
      <c r="L4" s="258"/>
      <c r="M4" s="258"/>
      <c r="N4" s="258"/>
      <c r="O4" s="258"/>
      <c r="P4" s="203"/>
      <c r="Q4" s="258"/>
    </row>
    <row r="5" spans="1:19" ht="24" customHeight="1" x14ac:dyDescent="0.25">
      <c r="A5" s="91" t="str">
        <f>G5</f>
        <v>Abilene Christian</v>
      </c>
      <c r="B5" s="91" t="str">
        <f t="shared" ref="B5:B36" si="0">I5</f>
        <v>Air Force</v>
      </c>
      <c r="C5" s="91" t="str">
        <f t="shared" ref="C5:C36" ca="1" si="1">IF(O5="","",IF(A5=O5,B5,A5))</f>
        <v>Abilene Christian</v>
      </c>
      <c r="D5" s="91" t="e">
        <f t="shared" ref="D5:D36" si="2">IF(SeedType=1,0,IF(SeedType=2,VLOOKUP(O5,SeedInfo,2,FALSE)*1,MAX(VLOOKUP(O5,SeedInfo,2,FALSE)-VLOOKUP(C5,SeedInfo,2,FALSE),0)))</f>
        <v>#REF!</v>
      </c>
      <c r="E5" s="129">
        <v>1</v>
      </c>
      <c r="F5" s="130" cm="1">
        <f t="array" ref="F5">_xlfn.XLOOKUP(G5,Teams[[#All],[Team]],Teams[[#All],[Seed]],0,0,1)</f>
        <v>1</v>
      </c>
      <c r="G5" s="131" t="str">
        <f>Teams!C2</f>
        <v>Abilene Christian</v>
      </c>
      <c r="H5" s="182" t="s">
        <v>9</v>
      </c>
      <c r="I5" s="132" t="str">
        <f>Teams!C3</f>
        <v>Air Force</v>
      </c>
      <c r="J5" s="133" cm="1">
        <f t="array" ref="J5">_xlfn.XLOOKUP(I5,Teams[[#All],[Team]],Teams[[#All],[Seed]],0,0,1)</f>
        <v>16</v>
      </c>
      <c r="K5" s="84" t="e" vm="65">
        <f>_xlfn.XLOOKUP(G5,Teams!$C:$C,Teams!$E:$E,,0,1)</f>
        <v>#VALUE!</v>
      </c>
      <c r="L5" s="84">
        <f ca="1">RANDBETWEEN(90,120)</f>
        <v>104</v>
      </c>
      <c r="M5" s="84" t="e" vm="66">
        <f>_xlfn.XLOOKUP(I5,Teams!$C:$C,Teams!$E:$E,,0,1)</f>
        <v>#VALUE!</v>
      </c>
      <c r="N5" s="84">
        <f ca="1">RANDBETWEEN(90,120)</f>
        <v>111</v>
      </c>
      <c r="O5" s="195" t="str">
        <f t="shared" ref="O5:O36" ca="1" si="3">IF(L5&gt;N5,G5,I5)</f>
        <v>Air Force</v>
      </c>
      <c r="P5" s="269" t="e" vm="66">
        <f ca="1">_xlfn.XLOOKUP(O5,Teams!$C:$C,Teams!$E:$E,,0,1)</f>
        <v>#VALUE!</v>
      </c>
      <c r="Q5" s="278"/>
      <c r="R5" s="6" t="b">
        <f ca="1">IF(
O5=G5,
IF(F5&gt;J5,TRUE,FALSE),
IF(J5&gt;F5,TRUE,FALSE))</f>
        <v>1</v>
      </c>
      <c r="S5" s="98"/>
    </row>
    <row r="6" spans="1:19" ht="24" customHeight="1" x14ac:dyDescent="0.25">
      <c r="A6" s="91" t="str">
        <f t="shared" ref="A6:A20" si="4">G6</f>
        <v>Akron</v>
      </c>
      <c r="B6" s="91" t="str">
        <f t="shared" si="0"/>
        <v>Alabama</v>
      </c>
      <c r="C6" s="91" t="str">
        <f t="shared" ca="1" si="1"/>
        <v>Akron</v>
      </c>
      <c r="D6" s="91" t="e">
        <f t="shared" si="2"/>
        <v>#REF!</v>
      </c>
      <c r="E6" s="99">
        <v>2</v>
      </c>
      <c r="F6" s="100" cm="1">
        <f t="array" ref="F6">_xlfn.XLOOKUP(G6,Teams[[#All],[Team]],Teams[[#All],[Seed]],0,0,1)</f>
        <v>8</v>
      </c>
      <c r="G6" s="101" t="str">
        <f>Teams!C4</f>
        <v>Akron</v>
      </c>
      <c r="H6" s="176" t="s">
        <v>9</v>
      </c>
      <c r="I6" s="102" t="str">
        <f>Teams!C5</f>
        <v>Alabama</v>
      </c>
      <c r="J6" s="103" cm="1">
        <f t="array" ref="J6">_xlfn.XLOOKUP(I6,Teams[[#All],[Team]],Teams[[#All],[Seed]],0,0,1)</f>
        <v>9</v>
      </c>
      <c r="K6" s="82" t="e" vm="67">
        <f>_xlfn.XLOOKUP(G6,Teams!$C:$C,Teams!$E:$E,,0,1)</f>
        <v>#VALUE!</v>
      </c>
      <c r="L6" s="82">
        <f t="shared" ref="L6:N36" ca="1" si="5">RANDBETWEEN(90,120)</f>
        <v>111</v>
      </c>
      <c r="M6" s="82" t="e" vm="68">
        <f>_xlfn.XLOOKUP(I6,Teams!$C:$C,Teams!$E:$E,,0,1)</f>
        <v>#VALUE!</v>
      </c>
      <c r="N6" s="82">
        <f t="shared" ca="1" si="5"/>
        <v>120</v>
      </c>
      <c r="O6" s="190" t="str">
        <f t="shared" ca="1" si="3"/>
        <v>Alabama</v>
      </c>
      <c r="P6" s="264" t="e" vm="68">
        <f ca="1">_xlfn.XLOOKUP(O6,Teams!$C:$C,Teams!$E:$E,,0,1)</f>
        <v>#VALUE!</v>
      </c>
      <c r="Q6" s="275"/>
      <c r="R6" s="6" t="b">
        <f t="shared" ref="R6:R69" ca="1" si="6">IF(
O6=G6,
IF(F6&gt;J6,TRUE,FALSE),
IF(J6&gt;F6,TRUE,FALSE))</f>
        <v>1</v>
      </c>
      <c r="S6" s="98"/>
    </row>
    <row r="7" spans="1:19" ht="24" customHeight="1" x14ac:dyDescent="0.25">
      <c r="A7" s="91" t="str">
        <f t="shared" si="4"/>
        <v>Alabama A&amp;M</v>
      </c>
      <c r="B7" s="91" t="str">
        <f t="shared" si="0"/>
        <v>Alabama State</v>
      </c>
      <c r="C7" s="91" t="str">
        <f t="shared" ca="1" si="1"/>
        <v>Alabama State</v>
      </c>
      <c r="D7" s="91" t="e">
        <f t="shared" si="2"/>
        <v>#REF!</v>
      </c>
      <c r="E7" s="99">
        <v>3</v>
      </c>
      <c r="F7" s="100" cm="1">
        <f t="array" ref="F7">_xlfn.XLOOKUP(G7,Teams[[#All],[Team]],Teams[[#All],[Seed]],0,0,1)</f>
        <v>5</v>
      </c>
      <c r="G7" s="101" t="str">
        <f>Teams!C6</f>
        <v>Alabama A&amp;M</v>
      </c>
      <c r="H7" s="176" t="s">
        <v>9</v>
      </c>
      <c r="I7" s="102" t="str">
        <f>Teams[[#This Row],[Team]]</f>
        <v>Alabama State</v>
      </c>
      <c r="J7" s="103" cm="1">
        <f t="array" ref="J7">_xlfn.XLOOKUP(I7,Teams[[#All],[Team]],Teams[[#All],[Seed]],0,0,1)</f>
        <v>12</v>
      </c>
      <c r="K7" s="82" t="e" vm="69">
        <f>_xlfn.XLOOKUP(G7,Teams!$C:$C,Teams!$E:$E,,0,1)</f>
        <v>#VALUE!</v>
      </c>
      <c r="L7" s="82">
        <f t="shared" ca="1" si="5"/>
        <v>100</v>
      </c>
      <c r="M7" s="82" t="e" vm="70">
        <f>_xlfn.XLOOKUP(I7,Teams!$C:$C,Teams!$E:$E,,0,1)</f>
        <v>#VALUE!</v>
      </c>
      <c r="N7" s="82">
        <f t="shared" ca="1" si="5"/>
        <v>97</v>
      </c>
      <c r="O7" s="190" t="str">
        <f t="shared" ca="1" si="3"/>
        <v>Alabama A&amp;M</v>
      </c>
      <c r="P7" s="264" t="e" vm="69">
        <f ca="1">_xlfn.XLOOKUP(O7,Teams!$C:$C,Teams!$E:$E,,0,1)</f>
        <v>#VALUE!</v>
      </c>
      <c r="Q7" s="275"/>
      <c r="R7" s="6" t="b">
        <f t="shared" ca="1" si="6"/>
        <v>0</v>
      </c>
      <c r="S7" s="98"/>
    </row>
    <row r="8" spans="1:19" ht="24" customHeight="1" x14ac:dyDescent="0.25">
      <c r="A8" s="91" t="str">
        <f t="shared" si="4"/>
        <v>Albany (NY)</v>
      </c>
      <c r="B8" s="91" t="str">
        <f t="shared" si="0"/>
        <v>Alcorn State</v>
      </c>
      <c r="C8" s="91" t="str">
        <f t="shared" ca="1" si="1"/>
        <v>Albany (NY)</v>
      </c>
      <c r="D8" s="91" t="e">
        <f t="shared" si="2"/>
        <v>#REF!</v>
      </c>
      <c r="E8" s="99">
        <v>4</v>
      </c>
      <c r="F8" s="100" cm="1">
        <f t="array" ref="F8">_xlfn.XLOOKUP(G8,Teams[[#All],[Team]],Teams[[#All],[Seed]],0,0,1)</f>
        <v>4</v>
      </c>
      <c r="G8" s="101" t="str">
        <f>Teams[[#This Row],[Team]]</f>
        <v>Albany (NY)</v>
      </c>
      <c r="H8" s="176" t="s">
        <v>9</v>
      </c>
      <c r="I8" s="102" t="str">
        <f>Teams!C9</f>
        <v>Alcorn State</v>
      </c>
      <c r="J8" s="103" cm="1">
        <f t="array" ref="J8">_xlfn.XLOOKUP(I8,Teams[[#All],[Team]],Teams[[#All],[Seed]],0,0,1)</f>
        <v>13</v>
      </c>
      <c r="K8" s="82" t="e" vm="71">
        <f>_xlfn.XLOOKUP(G8,Teams!$C:$C,Teams!$E:$E,,0,1)</f>
        <v>#VALUE!</v>
      </c>
      <c r="L8" s="82">
        <f t="shared" ca="1" si="5"/>
        <v>103</v>
      </c>
      <c r="M8" s="82" t="e" vm="72">
        <f>_xlfn.XLOOKUP(I8,Teams!$C:$C,Teams!$E:$E,,0,1)</f>
        <v>#VALUE!</v>
      </c>
      <c r="N8" s="82">
        <f t="shared" ca="1" si="5"/>
        <v>109</v>
      </c>
      <c r="O8" s="190" t="str">
        <f t="shared" ca="1" si="3"/>
        <v>Alcorn State</v>
      </c>
      <c r="P8" s="264" t="e" vm="72">
        <f ca="1">_xlfn.XLOOKUP(O8,Teams!$C:$C,Teams!$E:$E,,0,1)</f>
        <v>#VALUE!</v>
      </c>
      <c r="Q8" s="275"/>
      <c r="R8" s="6" t="b">
        <f t="shared" ca="1" si="6"/>
        <v>1</v>
      </c>
      <c r="S8" s="98"/>
    </row>
    <row r="9" spans="1:19" ht="24" customHeight="1" x14ac:dyDescent="0.25">
      <c r="A9" s="91" t="str">
        <f t="shared" si="4"/>
        <v>American</v>
      </c>
      <c r="B9" s="91" t="str">
        <f t="shared" si="0"/>
        <v>Appalachian State</v>
      </c>
      <c r="C9" s="91" t="str">
        <f t="shared" ca="1" si="1"/>
        <v>Appalachian State</v>
      </c>
      <c r="D9" s="91" t="e">
        <f t="shared" si="2"/>
        <v>#REF!</v>
      </c>
      <c r="E9" s="99">
        <v>5</v>
      </c>
      <c r="F9" s="100" cm="1">
        <f t="array" ref="F9">_xlfn.XLOOKUP(G9,Teams[[#All],[Team]],Teams[[#All],[Seed]],0,0,1)</f>
        <v>6</v>
      </c>
      <c r="G9" s="101" t="str">
        <f>Teams!C10</f>
        <v>American</v>
      </c>
      <c r="H9" s="176" t="s">
        <v>9</v>
      </c>
      <c r="I9" s="102" t="str">
        <f>Teams!C11</f>
        <v>Appalachian State</v>
      </c>
      <c r="J9" s="103" cm="1">
        <f t="array" ref="J9">_xlfn.XLOOKUP(I9,Teams[[#All],[Team]],Teams[[#All],[Seed]],0,0,1)</f>
        <v>11</v>
      </c>
      <c r="K9" s="82" t="e" vm="73">
        <f>_xlfn.XLOOKUP(G9,Teams!$C:$C,Teams!$E:$E,,0,1)</f>
        <v>#VALUE!</v>
      </c>
      <c r="L9" s="82">
        <f t="shared" ca="1" si="5"/>
        <v>107</v>
      </c>
      <c r="M9" s="82" t="e" vm="74">
        <f>_xlfn.XLOOKUP(I9,Teams!$C:$C,Teams!$E:$E,,0,1)</f>
        <v>#VALUE!</v>
      </c>
      <c r="N9" s="82">
        <f t="shared" ca="1" si="5"/>
        <v>104</v>
      </c>
      <c r="O9" s="190" t="str">
        <f t="shared" ca="1" si="3"/>
        <v>American</v>
      </c>
      <c r="P9" s="264" t="e" vm="73">
        <f ca="1">_xlfn.XLOOKUP(O9,Teams!$C:$C,Teams!$E:$E,,0,1)</f>
        <v>#VALUE!</v>
      </c>
      <c r="Q9" s="275"/>
      <c r="R9" s="6" t="b">
        <f t="shared" ca="1" si="6"/>
        <v>0</v>
      </c>
      <c r="S9" s="98"/>
    </row>
    <row r="10" spans="1:19" ht="24" customHeight="1" x14ac:dyDescent="0.25">
      <c r="A10" s="91" t="str">
        <f t="shared" si="4"/>
        <v>Arizona</v>
      </c>
      <c r="B10" s="91" t="str">
        <f t="shared" si="0"/>
        <v>Arizona State</v>
      </c>
      <c r="C10" s="91" t="str">
        <f t="shared" ca="1" si="1"/>
        <v>Arizona State</v>
      </c>
      <c r="D10" s="91" t="e">
        <f t="shared" si="2"/>
        <v>#REF!</v>
      </c>
      <c r="E10" s="99">
        <v>6</v>
      </c>
      <c r="F10" s="100" cm="1">
        <f t="array" ref="F10">_xlfn.XLOOKUP(G10,Teams[[#All],[Team]],Teams[[#All],[Seed]],0,0,1)</f>
        <v>3</v>
      </c>
      <c r="G10" s="101" t="str">
        <f>Teams!C12</f>
        <v>Arizona</v>
      </c>
      <c r="H10" s="176" t="s">
        <v>9</v>
      </c>
      <c r="I10" s="102" t="str">
        <f>Teams!C13</f>
        <v>Arizona State</v>
      </c>
      <c r="J10" s="103" cm="1">
        <f t="array" ref="J10">_xlfn.XLOOKUP(I10,Teams[[#All],[Team]],Teams[[#All],[Seed]],0,0,1)</f>
        <v>14</v>
      </c>
      <c r="K10" s="82" t="e" vm="75">
        <f>_xlfn.XLOOKUP(G10,Teams!$C:$C,Teams!$E:$E,,0,1)</f>
        <v>#VALUE!</v>
      </c>
      <c r="L10" s="82">
        <f t="shared" ca="1" si="5"/>
        <v>117</v>
      </c>
      <c r="M10" s="82" t="e" vm="76">
        <f>_xlfn.XLOOKUP(I10,Teams!$C:$C,Teams!$E:$E,,0,1)</f>
        <v>#VALUE!</v>
      </c>
      <c r="N10" s="82">
        <f t="shared" ca="1" si="5"/>
        <v>103</v>
      </c>
      <c r="O10" s="190" t="str">
        <f t="shared" ca="1" si="3"/>
        <v>Arizona</v>
      </c>
      <c r="P10" s="264" t="e" vm="75">
        <f ca="1">_xlfn.XLOOKUP(O10,Teams!$C:$C,Teams!$E:$E,,0,1)</f>
        <v>#VALUE!</v>
      </c>
      <c r="Q10" s="275"/>
      <c r="R10" s="6" t="b">
        <f t="shared" ca="1" si="6"/>
        <v>0</v>
      </c>
      <c r="S10" s="98"/>
    </row>
    <row r="11" spans="1:19" ht="24" customHeight="1" x14ac:dyDescent="0.25">
      <c r="A11" s="91" t="str">
        <f t="shared" si="4"/>
        <v>Arkansas</v>
      </c>
      <c r="B11" s="91" t="str">
        <f t="shared" si="0"/>
        <v>Arkansas State</v>
      </c>
      <c r="C11" s="91" t="str">
        <f t="shared" ca="1" si="1"/>
        <v>Arkansas</v>
      </c>
      <c r="D11" s="91" t="e">
        <f t="shared" si="2"/>
        <v>#REF!</v>
      </c>
      <c r="E11" s="99">
        <v>7</v>
      </c>
      <c r="F11" s="100" cm="1">
        <f t="array" ref="F11">_xlfn.XLOOKUP(G11,Teams[[#All],[Team]],Teams[[#All],[Seed]],0,0,1)</f>
        <v>7</v>
      </c>
      <c r="G11" s="101" t="str">
        <f>Teams!C14</f>
        <v>Arkansas</v>
      </c>
      <c r="H11" s="176" t="s">
        <v>9</v>
      </c>
      <c r="I11" s="102" t="str">
        <f>Teams!C15</f>
        <v>Arkansas State</v>
      </c>
      <c r="J11" s="103" cm="1">
        <f t="array" ref="J11">_xlfn.XLOOKUP(I11,Teams[[#All],[Team]],Teams[[#All],[Seed]],0,0,1)</f>
        <v>10</v>
      </c>
      <c r="K11" s="82" t="e" vm="77">
        <f>_xlfn.XLOOKUP(G11,Teams!$C:$C,Teams!$E:$E,,0,1)</f>
        <v>#VALUE!</v>
      </c>
      <c r="L11" s="82">
        <f t="shared" ca="1" si="5"/>
        <v>99</v>
      </c>
      <c r="M11" s="82" t="e" vm="78">
        <f>_xlfn.XLOOKUP(I11,Teams!$C:$C,Teams!$E:$E,,0,1)</f>
        <v>#VALUE!</v>
      </c>
      <c r="N11" s="82">
        <f t="shared" ca="1" si="5"/>
        <v>102</v>
      </c>
      <c r="O11" s="190" t="str">
        <f t="shared" ca="1" si="3"/>
        <v>Arkansas State</v>
      </c>
      <c r="P11" s="264" t="e" vm="78">
        <f ca="1">_xlfn.XLOOKUP(O11,Teams!$C:$C,Teams!$E:$E,,0,1)</f>
        <v>#VALUE!</v>
      </c>
      <c r="Q11" s="275"/>
      <c r="R11" s="6" t="b">
        <f t="shared" ca="1" si="6"/>
        <v>1</v>
      </c>
      <c r="S11" s="98"/>
    </row>
    <row r="12" spans="1:19" ht="24" customHeight="1" thickBot="1" x14ac:dyDescent="0.3">
      <c r="A12" s="91" t="str">
        <f t="shared" si="4"/>
        <v>Arkansas-Pine Bluff</v>
      </c>
      <c r="B12" s="91" t="str">
        <f t="shared" si="0"/>
        <v>Army</v>
      </c>
      <c r="C12" s="91" t="str">
        <f t="shared" ca="1" si="1"/>
        <v>Arkansas-Pine Bluff</v>
      </c>
      <c r="D12" s="91" t="e">
        <f t="shared" si="2"/>
        <v>#REF!</v>
      </c>
      <c r="E12" s="104">
        <v>8</v>
      </c>
      <c r="F12" s="105" cm="1">
        <f t="array" ref="F12">_xlfn.XLOOKUP(G12,Teams[[#All],[Team]],Teams[[#All],[Seed]],0,0,1)</f>
        <v>2</v>
      </c>
      <c r="G12" s="106" t="str">
        <f>Teams!C16</f>
        <v>Arkansas-Pine Bluff</v>
      </c>
      <c r="H12" s="177" t="s">
        <v>9</v>
      </c>
      <c r="I12" s="107" t="str">
        <f>Teams!C17</f>
        <v>Army</v>
      </c>
      <c r="J12" s="108" cm="1">
        <f t="array" ref="J12">_xlfn.XLOOKUP(I12,Teams[[#All],[Team]],Teams[[#All],[Seed]],0,0,1)</f>
        <v>15</v>
      </c>
      <c r="K12" s="109" t="e" vm="79">
        <f>_xlfn.XLOOKUP(G12,Teams!$C:$C,Teams!$E:$E,,0,1)</f>
        <v>#VALUE!</v>
      </c>
      <c r="L12" s="109">
        <f t="shared" ca="1" si="5"/>
        <v>104</v>
      </c>
      <c r="M12" s="109" t="e" vm="80">
        <f>_xlfn.XLOOKUP(I12,Teams!$C:$C,Teams!$E:$E,,0,1)</f>
        <v>#VALUE!</v>
      </c>
      <c r="N12" s="109">
        <f t="shared" ca="1" si="5"/>
        <v>119</v>
      </c>
      <c r="O12" s="191" t="str">
        <f t="shared" ca="1" si="3"/>
        <v>Army</v>
      </c>
      <c r="P12" s="265" t="e" vm="80">
        <f ca="1">_xlfn.XLOOKUP(O12,Teams!$C:$C,Teams!$E:$E,,0,1)</f>
        <v>#VALUE!</v>
      </c>
      <c r="Q12" s="275"/>
      <c r="R12" s="6" t="b">
        <f t="shared" ca="1" si="6"/>
        <v>1</v>
      </c>
      <c r="S12" s="98"/>
    </row>
    <row r="13" spans="1:19" ht="24" customHeight="1" x14ac:dyDescent="0.25">
      <c r="A13" s="91" t="str">
        <f t="shared" si="4"/>
        <v>Auburn</v>
      </c>
      <c r="B13" s="91" t="str">
        <f t="shared" si="0"/>
        <v>Austin Peay</v>
      </c>
      <c r="C13" s="91" t="str">
        <f t="shared" ca="1" si="1"/>
        <v>Austin Peay</v>
      </c>
      <c r="D13" s="91" t="e">
        <f t="shared" si="2"/>
        <v>#REF!</v>
      </c>
      <c r="E13" s="110">
        <v>9</v>
      </c>
      <c r="F13" s="111" cm="1">
        <f t="array" ref="F13">_xlfn.XLOOKUP(G13,Teams[[#All],[Team]],Teams[[#All],[Seed]],0,0,1)</f>
        <v>1</v>
      </c>
      <c r="G13" s="112" t="str">
        <f>Teams!C18</f>
        <v>Auburn</v>
      </c>
      <c r="H13" s="178" t="s">
        <v>9</v>
      </c>
      <c r="I13" s="113" t="str">
        <f>Teams!C19</f>
        <v>Austin Peay</v>
      </c>
      <c r="J13" s="114" cm="1">
        <f t="array" ref="J13">_xlfn.XLOOKUP(I13,Teams[[#All],[Team]],Teams[[#All],[Seed]],0,0,1)</f>
        <v>16</v>
      </c>
      <c r="K13" s="115" t="e" vm="81">
        <f>_xlfn.XLOOKUP(G13,Teams!$C:$C,Teams!$E:$E,,0,1)</f>
        <v>#VALUE!</v>
      </c>
      <c r="L13" s="115">
        <f t="shared" ca="1" si="5"/>
        <v>117</v>
      </c>
      <c r="M13" s="115" t="e" vm="82">
        <f>_xlfn.XLOOKUP(I13,Teams!$C:$C,Teams!$E:$E,,0,1)</f>
        <v>#VALUE!</v>
      </c>
      <c r="N13" s="115">
        <f t="shared" ca="1" si="5"/>
        <v>111</v>
      </c>
      <c r="O13" s="192" t="str">
        <f t="shared" ca="1" si="3"/>
        <v>Auburn</v>
      </c>
      <c r="P13" s="266" t="e" vm="81">
        <f ca="1">_xlfn.XLOOKUP(O13,Teams!$C:$C,Teams!$E:$E,,0,1)</f>
        <v>#VALUE!</v>
      </c>
      <c r="Q13" s="276"/>
      <c r="R13" s="6" t="b">
        <f t="shared" ca="1" si="6"/>
        <v>0</v>
      </c>
      <c r="S13" s="98"/>
    </row>
    <row r="14" spans="1:19" ht="24" customHeight="1" x14ac:dyDescent="0.25">
      <c r="A14" s="91" t="str">
        <f t="shared" si="4"/>
        <v>Ball State</v>
      </c>
      <c r="B14" s="91" t="str">
        <f t="shared" si="0"/>
        <v>Baylor</v>
      </c>
      <c r="C14" s="91" t="str">
        <f t="shared" ca="1" si="1"/>
        <v>Ball State</v>
      </c>
      <c r="D14" s="91" t="e">
        <f t="shared" si="2"/>
        <v>#REF!</v>
      </c>
      <c r="E14" s="116">
        <v>10</v>
      </c>
      <c r="F14" s="117" cm="1">
        <f t="array" ref="F14">_xlfn.XLOOKUP(G14,Teams[[#All],[Team]],Teams[[#All],[Seed]],0,0,1)</f>
        <v>8</v>
      </c>
      <c r="G14" s="118" t="str">
        <f>Teams!C20</f>
        <v>Ball State</v>
      </c>
      <c r="H14" s="179" t="s">
        <v>9</v>
      </c>
      <c r="I14" s="119" t="str">
        <f>Teams!C21</f>
        <v>Baylor</v>
      </c>
      <c r="J14" s="120" cm="1">
        <f t="array" ref="J14">_xlfn.XLOOKUP(I14,Teams[[#All],[Team]],Teams[[#All],[Seed]],0,0,1)</f>
        <v>9</v>
      </c>
      <c r="K14" s="83" t="e" vm="83">
        <f>_xlfn.XLOOKUP(G14,Teams!$C:$C,Teams!$E:$E,,0,1)</f>
        <v>#VALUE!</v>
      </c>
      <c r="L14" s="83">
        <f t="shared" ca="1" si="5"/>
        <v>105</v>
      </c>
      <c r="M14" s="83" t="e" vm="84">
        <f>_xlfn.XLOOKUP(I14,Teams!$C:$C,Teams!$E:$E,,0,1)</f>
        <v>#VALUE!</v>
      </c>
      <c r="N14" s="83">
        <f t="shared" ca="1" si="5"/>
        <v>109</v>
      </c>
      <c r="O14" s="193" t="str">
        <f t="shared" ca="1" si="3"/>
        <v>Baylor</v>
      </c>
      <c r="P14" s="267" t="e" vm="84">
        <f ca="1">_xlfn.XLOOKUP(O14,Teams!$C:$C,Teams!$E:$E,,0,1)</f>
        <v>#VALUE!</v>
      </c>
      <c r="Q14" s="276"/>
      <c r="R14" s="6" t="b">
        <f t="shared" ca="1" si="6"/>
        <v>1</v>
      </c>
      <c r="S14" s="98"/>
    </row>
    <row r="15" spans="1:19" ht="24" customHeight="1" x14ac:dyDescent="0.25">
      <c r="A15" s="91" t="str">
        <f t="shared" si="4"/>
        <v>Bellarmine</v>
      </c>
      <c r="B15" s="91" t="str">
        <f t="shared" si="0"/>
        <v>Belmont</v>
      </c>
      <c r="C15" s="91" t="str">
        <f t="shared" ca="1" si="1"/>
        <v>Bellarmine</v>
      </c>
      <c r="D15" s="91" t="e">
        <f t="shared" si="2"/>
        <v>#REF!</v>
      </c>
      <c r="E15" s="116">
        <v>11</v>
      </c>
      <c r="F15" s="117" cm="1">
        <f t="array" ref="F15">_xlfn.XLOOKUP(G15,Teams[[#All],[Team]],Teams[[#All],[Seed]],0,0,1)</f>
        <v>5</v>
      </c>
      <c r="G15" s="118" t="str">
        <f>Teams!C22</f>
        <v>Bellarmine</v>
      </c>
      <c r="H15" s="179" t="s">
        <v>9</v>
      </c>
      <c r="I15" s="119" t="str">
        <f>Teams!C23</f>
        <v>Belmont</v>
      </c>
      <c r="J15" s="120" cm="1">
        <f t="array" ref="J15">_xlfn.XLOOKUP(I15,Teams[[#All],[Team]],Teams[[#All],[Seed]],0,0,1)</f>
        <v>12</v>
      </c>
      <c r="K15" s="83" t="e" vm="85">
        <f>_xlfn.XLOOKUP(G15,Teams!$C:$C,Teams!$E:$E,,0,1)</f>
        <v>#VALUE!</v>
      </c>
      <c r="L15" s="83">
        <f t="shared" ca="1" si="5"/>
        <v>99</v>
      </c>
      <c r="M15" s="83" t="e" vm="86">
        <f>_xlfn.XLOOKUP(I15,Teams!$C:$C,Teams!$E:$E,,0,1)</f>
        <v>#VALUE!</v>
      </c>
      <c r="N15" s="83">
        <f t="shared" ca="1" si="5"/>
        <v>111</v>
      </c>
      <c r="O15" s="193" t="str">
        <f t="shared" ca="1" si="3"/>
        <v>Belmont</v>
      </c>
      <c r="P15" s="267" t="e" vm="86">
        <f ca="1">_xlfn.XLOOKUP(O15,Teams!$C:$C,Teams!$E:$E,,0,1)</f>
        <v>#VALUE!</v>
      </c>
      <c r="Q15" s="276"/>
      <c r="R15" s="6" t="b">
        <f t="shared" ca="1" si="6"/>
        <v>1</v>
      </c>
      <c r="S15" s="98"/>
    </row>
    <row r="16" spans="1:19" ht="24" customHeight="1" x14ac:dyDescent="0.25">
      <c r="A16" s="91" t="str">
        <f t="shared" si="4"/>
        <v>Bethune-Cookman</v>
      </c>
      <c r="B16" s="91" t="str">
        <f t="shared" si="0"/>
        <v>Binghamton</v>
      </c>
      <c r="C16" s="91" t="str">
        <f t="shared" ca="1" si="1"/>
        <v>Bethune-Cookman</v>
      </c>
      <c r="D16" s="91" t="e">
        <f t="shared" si="2"/>
        <v>#REF!</v>
      </c>
      <c r="E16" s="116">
        <v>12</v>
      </c>
      <c r="F16" s="117" cm="1">
        <f t="array" ref="F16">_xlfn.XLOOKUP(G16,Teams[[#All],[Team]],Teams[[#All],[Seed]],0,0,1)</f>
        <v>4</v>
      </c>
      <c r="G16" s="118" t="str">
        <f>Teams!C24</f>
        <v>Bethune-Cookman</v>
      </c>
      <c r="H16" s="179" t="s">
        <v>9</v>
      </c>
      <c r="I16" s="119" t="str">
        <f>Teams!C25</f>
        <v>Binghamton</v>
      </c>
      <c r="J16" s="120" cm="1">
        <f t="array" ref="J16">_xlfn.XLOOKUP(I16,Teams[[#All],[Team]],Teams[[#All],[Seed]],0,0,1)</f>
        <v>13</v>
      </c>
      <c r="K16" s="83" t="e" vm="87">
        <f>_xlfn.XLOOKUP(G16,Teams!$C:$C,Teams!$E:$E,,0,1)</f>
        <v>#VALUE!</v>
      </c>
      <c r="L16" s="83">
        <f t="shared" ca="1" si="5"/>
        <v>99</v>
      </c>
      <c r="M16" s="83" t="e" vm="88">
        <f>_xlfn.XLOOKUP(I16,Teams!$C:$C,Teams!$E:$E,,0,1)</f>
        <v>#VALUE!</v>
      </c>
      <c r="N16" s="83">
        <f t="shared" ca="1" si="5"/>
        <v>117</v>
      </c>
      <c r="O16" s="193" t="str">
        <f t="shared" ca="1" si="3"/>
        <v>Binghamton</v>
      </c>
      <c r="P16" s="267" t="e" vm="88">
        <f ca="1">_xlfn.XLOOKUP(O16,Teams!$C:$C,Teams!$E:$E,,0,1)</f>
        <v>#VALUE!</v>
      </c>
      <c r="Q16" s="276"/>
      <c r="R16" s="6" t="b">
        <f t="shared" ca="1" si="6"/>
        <v>1</v>
      </c>
      <c r="S16" s="98"/>
    </row>
    <row r="17" spans="1:19" ht="24" customHeight="1" x14ac:dyDescent="0.25">
      <c r="A17" s="91" t="str">
        <f t="shared" si="4"/>
        <v>Boise State</v>
      </c>
      <c r="B17" s="91" t="str">
        <f t="shared" si="0"/>
        <v>Boston College</v>
      </c>
      <c r="C17" s="91" t="str">
        <f t="shared" ca="1" si="1"/>
        <v>Boise State</v>
      </c>
      <c r="D17" s="91" t="e">
        <f t="shared" si="2"/>
        <v>#REF!</v>
      </c>
      <c r="E17" s="116">
        <v>13</v>
      </c>
      <c r="F17" s="117" cm="1">
        <f t="array" ref="F17">_xlfn.XLOOKUP(G17,Teams[[#All],[Team]],Teams[[#All],[Seed]],0,0,1)</f>
        <v>6</v>
      </c>
      <c r="G17" s="118" t="str">
        <f>Teams!C26</f>
        <v>Boise State</v>
      </c>
      <c r="H17" s="179" t="s">
        <v>9</v>
      </c>
      <c r="I17" s="119" t="str">
        <f>Teams!C27</f>
        <v>Boston College</v>
      </c>
      <c r="J17" s="120" cm="1">
        <f t="array" ref="J17">_xlfn.XLOOKUP(I17,Teams[[#All],[Team]],Teams[[#All],[Seed]],0,0,1)</f>
        <v>11</v>
      </c>
      <c r="K17" s="83" t="e" vm="89">
        <f>_xlfn.XLOOKUP(G17,Teams!$C:$C,Teams!$E:$E,,0,1)</f>
        <v>#VALUE!</v>
      </c>
      <c r="L17" s="83">
        <f t="shared" ca="1" si="5"/>
        <v>103</v>
      </c>
      <c r="M17" s="83" t="e" vm="90">
        <f>_xlfn.XLOOKUP(I17,Teams!$C:$C,Teams!$E:$E,,0,1)</f>
        <v>#VALUE!</v>
      </c>
      <c r="N17" s="83">
        <f t="shared" ca="1" si="5"/>
        <v>113</v>
      </c>
      <c r="O17" s="193" t="str">
        <f t="shared" ca="1" si="3"/>
        <v>Boston College</v>
      </c>
      <c r="P17" s="267" t="e" vm="90">
        <f ca="1">_xlfn.XLOOKUP(O17,Teams!$C:$C,Teams!$E:$E,,0,1)</f>
        <v>#VALUE!</v>
      </c>
      <c r="Q17" s="276"/>
      <c r="R17" s="6" t="b">
        <f t="shared" ca="1" si="6"/>
        <v>1</v>
      </c>
      <c r="S17" s="98"/>
    </row>
    <row r="18" spans="1:19" ht="24" customHeight="1" x14ac:dyDescent="0.25">
      <c r="A18" s="91" t="str">
        <f t="shared" si="4"/>
        <v>Boston University</v>
      </c>
      <c r="B18" s="91" t="str">
        <f t="shared" si="0"/>
        <v>Bowling Green</v>
      </c>
      <c r="C18" s="91" t="str">
        <f t="shared" ca="1" si="1"/>
        <v>Boston University</v>
      </c>
      <c r="D18" s="91" t="e">
        <f t="shared" si="2"/>
        <v>#REF!</v>
      </c>
      <c r="E18" s="116">
        <v>14</v>
      </c>
      <c r="F18" s="117" cm="1">
        <f t="array" ref="F18">_xlfn.XLOOKUP(G18,Teams[[#All],[Team]],Teams[[#All],[Seed]],0,0,1)</f>
        <v>3</v>
      </c>
      <c r="G18" s="118" t="str">
        <f>Teams!C28</f>
        <v>Boston University</v>
      </c>
      <c r="H18" s="179" t="s">
        <v>9</v>
      </c>
      <c r="I18" s="119" t="str">
        <f>Teams!C29</f>
        <v>Bowling Green</v>
      </c>
      <c r="J18" s="120" cm="1">
        <f t="array" ref="J18">_xlfn.XLOOKUP(I18,Teams[[#All],[Team]],Teams[[#All],[Seed]],0,0,1)</f>
        <v>14</v>
      </c>
      <c r="K18" s="83" t="e" vm="91">
        <f>_xlfn.XLOOKUP(G18,Teams!$C:$C,Teams!$E:$E,,0,1)</f>
        <v>#VALUE!</v>
      </c>
      <c r="L18" s="83">
        <f t="shared" ca="1" si="5"/>
        <v>99</v>
      </c>
      <c r="M18" s="83" t="e" vm="92">
        <f>_xlfn.XLOOKUP(I18,Teams!$C:$C,Teams!$E:$E,,0,1)</f>
        <v>#VALUE!</v>
      </c>
      <c r="N18" s="83">
        <f t="shared" ca="1" si="5"/>
        <v>110</v>
      </c>
      <c r="O18" s="193" t="str">
        <f t="shared" ca="1" si="3"/>
        <v>Bowling Green</v>
      </c>
      <c r="P18" s="267" t="e" vm="92">
        <f ca="1">_xlfn.XLOOKUP(O18,Teams!$C:$C,Teams!$E:$E,,0,1)</f>
        <v>#VALUE!</v>
      </c>
      <c r="Q18" s="276"/>
      <c r="R18" s="6" t="b">
        <f t="shared" ca="1" si="6"/>
        <v>1</v>
      </c>
      <c r="S18" s="98"/>
    </row>
    <row r="19" spans="1:19" ht="24" customHeight="1" x14ac:dyDescent="0.25">
      <c r="A19" s="91" t="str">
        <f t="shared" si="4"/>
        <v>Bradley</v>
      </c>
      <c r="B19" s="91" t="str">
        <f t="shared" si="0"/>
        <v>Brigham Young</v>
      </c>
      <c r="C19" s="91" t="str">
        <f t="shared" ca="1" si="1"/>
        <v>Bradley</v>
      </c>
      <c r="D19" s="91" t="e">
        <f t="shared" si="2"/>
        <v>#REF!</v>
      </c>
      <c r="E19" s="116">
        <v>15</v>
      </c>
      <c r="F19" s="117" cm="1">
        <f t="array" ref="F19">_xlfn.XLOOKUP(G19,Teams[[#All],[Team]],Teams[[#All],[Seed]],0,0,1)</f>
        <v>7</v>
      </c>
      <c r="G19" s="118" t="str">
        <f>Teams!C30</f>
        <v>Bradley</v>
      </c>
      <c r="H19" s="179" t="s">
        <v>9</v>
      </c>
      <c r="I19" s="119" t="str">
        <f>Teams!C31</f>
        <v>Brigham Young</v>
      </c>
      <c r="J19" s="120" cm="1">
        <f t="array" ref="J19">_xlfn.XLOOKUP(I19,Teams[[#All],[Team]],Teams[[#All],[Seed]],0,0,1)</f>
        <v>10</v>
      </c>
      <c r="K19" s="83" t="e" vm="93">
        <f>_xlfn.XLOOKUP(G19,Teams!$C:$C,Teams!$E:$E,,0,1)</f>
        <v>#VALUE!</v>
      </c>
      <c r="L19" s="83">
        <f t="shared" ca="1" si="5"/>
        <v>99</v>
      </c>
      <c r="M19" s="83" t="e" vm="94">
        <f>_xlfn.XLOOKUP(I19,Teams!$C:$C,Teams!$E:$E,,0,1)</f>
        <v>#VALUE!</v>
      </c>
      <c r="N19" s="83">
        <f t="shared" ca="1" si="5"/>
        <v>111</v>
      </c>
      <c r="O19" s="193" t="str">
        <f t="shared" ca="1" si="3"/>
        <v>Brigham Young</v>
      </c>
      <c r="P19" s="267" t="e" vm="94">
        <f ca="1">_xlfn.XLOOKUP(O19,Teams!$C:$C,Teams!$E:$E,,0,1)</f>
        <v>#VALUE!</v>
      </c>
      <c r="Q19" s="276"/>
      <c r="R19" s="6" t="b">
        <f t="shared" ca="1" si="6"/>
        <v>1</v>
      </c>
      <c r="S19" s="98"/>
    </row>
    <row r="20" spans="1:19" ht="24" customHeight="1" thickBot="1" x14ac:dyDescent="0.3">
      <c r="A20" s="91" t="str">
        <f t="shared" si="4"/>
        <v>Brown</v>
      </c>
      <c r="B20" s="91" t="str">
        <f t="shared" si="0"/>
        <v>Bryant</v>
      </c>
      <c r="C20" s="91" t="str">
        <f t="shared" ca="1" si="1"/>
        <v>Bryant</v>
      </c>
      <c r="D20" s="91" t="e">
        <f t="shared" si="2"/>
        <v>#REF!</v>
      </c>
      <c r="E20" s="121">
        <v>16</v>
      </c>
      <c r="F20" s="122" cm="1">
        <f t="array" ref="F20">_xlfn.XLOOKUP(G20,Teams[[#All],[Team]],Teams[[#All],[Seed]],0,0,1)</f>
        <v>2</v>
      </c>
      <c r="G20" s="123" t="str">
        <f>Teams!C32</f>
        <v>Brown</v>
      </c>
      <c r="H20" s="180" t="s">
        <v>9</v>
      </c>
      <c r="I20" s="124" t="str">
        <f>Teams!C33</f>
        <v>Bryant</v>
      </c>
      <c r="J20" s="125" cm="1">
        <f t="array" ref="J20">_xlfn.XLOOKUP(I20,Teams[[#All],[Team]],Teams[[#All],[Seed]],0,0,1)</f>
        <v>15</v>
      </c>
      <c r="K20" s="126" t="e" vm="95">
        <f>_xlfn.XLOOKUP(G20,Teams!$C:$C,Teams!$E:$E,,0,1)</f>
        <v>#VALUE!</v>
      </c>
      <c r="L20" s="126">
        <f t="shared" ca="1" si="5"/>
        <v>120</v>
      </c>
      <c r="M20" s="126" t="e" vm="96">
        <f>_xlfn.XLOOKUP(I20,Teams!$C:$C,Teams!$E:$E,,0,1)</f>
        <v>#VALUE!</v>
      </c>
      <c r="N20" s="126">
        <f t="shared" ca="1" si="5"/>
        <v>108</v>
      </c>
      <c r="O20" s="194" t="str">
        <f t="shared" ca="1" si="3"/>
        <v>Brown</v>
      </c>
      <c r="P20" s="268" t="e" vm="95">
        <f ca="1">_xlfn.XLOOKUP(O20,Teams!$C:$C,Teams!$E:$E,,0,1)</f>
        <v>#VALUE!</v>
      </c>
      <c r="Q20" s="276"/>
      <c r="R20" s="6" t="b">
        <f t="shared" ca="1" si="6"/>
        <v>0</v>
      </c>
      <c r="S20" s="98"/>
    </row>
    <row r="21" spans="1:19" ht="24" customHeight="1" x14ac:dyDescent="0.25">
      <c r="A21" s="91" t="str">
        <f t="shared" ref="A21:A36" si="7">G21</f>
        <v>Bucknell</v>
      </c>
      <c r="B21" s="91" t="str">
        <f t="shared" si="0"/>
        <v>Buffalo</v>
      </c>
      <c r="C21" s="91" t="str">
        <f t="shared" ca="1" si="1"/>
        <v>Buffalo</v>
      </c>
      <c r="D21" s="91" t="e">
        <f t="shared" si="2"/>
        <v>#REF!</v>
      </c>
      <c r="E21" s="92">
        <v>17</v>
      </c>
      <c r="F21" s="93" cm="1">
        <f t="array" ref="F21">_xlfn.XLOOKUP(G21,Teams[[#All],[Team]],Teams[[#All],[Seed]],0,0,1)</f>
        <v>1</v>
      </c>
      <c r="G21" s="94" t="str">
        <f>Teams!C34</f>
        <v>Bucknell</v>
      </c>
      <c r="H21" s="175" t="s">
        <v>9</v>
      </c>
      <c r="I21" s="95" t="str">
        <f>Teams!C35</f>
        <v>Buffalo</v>
      </c>
      <c r="J21" s="96" cm="1">
        <f t="array" ref="J21">_xlfn.XLOOKUP(I21,Teams[[#All],[Team]],Teams[[#All],[Seed]],0,0,1)</f>
        <v>16</v>
      </c>
      <c r="K21" s="97" t="e" vm="97">
        <f>_xlfn.XLOOKUP(G21,Teams!$C:$C,Teams!$E:$E,,0,1)</f>
        <v>#VALUE!</v>
      </c>
      <c r="L21" s="97">
        <f t="shared" ca="1" si="5"/>
        <v>104</v>
      </c>
      <c r="M21" s="97" t="e" vm="98">
        <f>_xlfn.XLOOKUP(I21,Teams!$C:$C,Teams!$E:$E,,0,1)</f>
        <v>#VALUE!</v>
      </c>
      <c r="N21" s="97">
        <f t="shared" ca="1" si="5"/>
        <v>98</v>
      </c>
      <c r="O21" s="189" t="str">
        <f t="shared" ca="1" si="3"/>
        <v>Bucknell</v>
      </c>
      <c r="P21" s="263" t="e" vm="97">
        <f ca="1">_xlfn.XLOOKUP(O21,Teams!$C:$C,Teams!$E:$E,,0,1)</f>
        <v>#VALUE!</v>
      </c>
      <c r="Q21" s="275"/>
      <c r="R21" s="6" t="b">
        <f t="shared" ca="1" si="6"/>
        <v>0</v>
      </c>
      <c r="S21" s="98"/>
    </row>
    <row r="22" spans="1:19" ht="24" customHeight="1" x14ac:dyDescent="0.25">
      <c r="A22" s="91" t="str">
        <f t="shared" si="7"/>
        <v>Butler</v>
      </c>
      <c r="B22" s="91" t="str">
        <f t="shared" si="0"/>
        <v>Cal Poly</v>
      </c>
      <c r="C22" s="91" t="str">
        <f t="shared" ca="1" si="1"/>
        <v>Butler</v>
      </c>
      <c r="D22" s="91" t="e">
        <f t="shared" si="2"/>
        <v>#REF!</v>
      </c>
      <c r="E22" s="99">
        <v>18</v>
      </c>
      <c r="F22" s="100" cm="1">
        <f t="array" ref="F22">_xlfn.XLOOKUP(G22,Teams[[#All],[Team]],Teams[[#All],[Seed]],0,0,1)</f>
        <v>8</v>
      </c>
      <c r="G22" s="101" t="str">
        <f>Teams!C36</f>
        <v>Butler</v>
      </c>
      <c r="H22" s="176" t="s">
        <v>9</v>
      </c>
      <c r="I22" s="102" t="str">
        <f>Teams!C37</f>
        <v>Cal Poly</v>
      </c>
      <c r="J22" s="103" cm="1">
        <f t="array" ref="J22">_xlfn.XLOOKUP(I22,Teams[[#All],[Team]],Teams[[#All],[Seed]],0,0,1)</f>
        <v>9</v>
      </c>
      <c r="K22" s="82" t="e" vm="99">
        <f>_xlfn.XLOOKUP(G22,Teams!$C:$C,Teams!$E:$E,,0,1)</f>
        <v>#VALUE!</v>
      </c>
      <c r="L22" s="82">
        <f t="shared" ca="1" si="5"/>
        <v>118</v>
      </c>
      <c r="M22" s="82" t="e" vm="100">
        <f>_xlfn.XLOOKUP(I22,Teams!$C:$C,Teams!$E:$E,,0,1)</f>
        <v>#VALUE!</v>
      </c>
      <c r="N22" s="82">
        <f t="shared" ca="1" si="5"/>
        <v>118</v>
      </c>
      <c r="O22" s="190" t="str">
        <f t="shared" ca="1" si="3"/>
        <v>Cal Poly</v>
      </c>
      <c r="P22" s="264" t="e" vm="100">
        <f ca="1">_xlfn.XLOOKUP(O22,Teams!$C:$C,Teams!$E:$E,,0,1)</f>
        <v>#VALUE!</v>
      </c>
      <c r="Q22" s="275"/>
      <c r="R22" s="6" t="b">
        <f t="shared" ca="1" si="6"/>
        <v>1</v>
      </c>
      <c r="S22" s="98"/>
    </row>
    <row r="23" spans="1:19" ht="24" customHeight="1" x14ac:dyDescent="0.25">
      <c r="A23" s="91" t="str">
        <f t="shared" si="7"/>
        <v>Cal State Bakersfield</v>
      </c>
      <c r="B23" s="91" t="str">
        <f t="shared" si="0"/>
        <v>Cal State Fullerton</v>
      </c>
      <c r="C23" s="91" t="str">
        <f t="shared" ca="1" si="1"/>
        <v>Cal State Bakersfield</v>
      </c>
      <c r="D23" s="91" t="e">
        <f t="shared" si="2"/>
        <v>#REF!</v>
      </c>
      <c r="E23" s="99">
        <v>19</v>
      </c>
      <c r="F23" s="100" cm="1">
        <f t="array" ref="F23">_xlfn.XLOOKUP(G23,Teams[[#All],[Team]],Teams[[#All],[Seed]],0,0,1)</f>
        <v>5</v>
      </c>
      <c r="G23" s="101" t="str">
        <f>Teams!C38</f>
        <v>Cal State Bakersfield</v>
      </c>
      <c r="H23" s="176" t="s">
        <v>9</v>
      </c>
      <c r="I23" s="102" t="str">
        <f>Teams!C39</f>
        <v>Cal State Fullerton</v>
      </c>
      <c r="J23" s="103" cm="1">
        <f t="array" ref="J23">_xlfn.XLOOKUP(I23,Teams[[#All],[Team]],Teams[[#All],[Seed]],0,0,1)</f>
        <v>12</v>
      </c>
      <c r="K23" s="82" t="e" vm="101">
        <f>_xlfn.XLOOKUP(G23,Teams!$C:$C,Teams!$E:$E,,0,1)</f>
        <v>#VALUE!</v>
      </c>
      <c r="L23" s="82">
        <f t="shared" ca="1" si="5"/>
        <v>98</v>
      </c>
      <c r="M23" s="82" t="e" vm="102">
        <f>_xlfn.XLOOKUP(I23,Teams!$C:$C,Teams!$E:$E,,0,1)</f>
        <v>#VALUE!</v>
      </c>
      <c r="N23" s="82">
        <f t="shared" ca="1" si="5"/>
        <v>98</v>
      </c>
      <c r="O23" s="190" t="str">
        <f t="shared" ca="1" si="3"/>
        <v>Cal State Fullerton</v>
      </c>
      <c r="P23" s="264" t="e" vm="102">
        <f ca="1">_xlfn.XLOOKUP(O23,Teams!$C:$C,Teams!$E:$E,,0,1)</f>
        <v>#VALUE!</v>
      </c>
      <c r="Q23" s="275"/>
      <c r="R23" s="6" t="b">
        <f t="shared" ca="1" si="6"/>
        <v>1</v>
      </c>
      <c r="S23" s="98"/>
    </row>
    <row r="24" spans="1:19" ht="24" customHeight="1" x14ac:dyDescent="0.25">
      <c r="A24" s="91" t="str">
        <f t="shared" si="7"/>
        <v>Cal State Northridge</v>
      </c>
      <c r="B24" s="91" t="str">
        <f t="shared" si="0"/>
        <v>California</v>
      </c>
      <c r="C24" s="91" t="str">
        <f t="shared" ca="1" si="1"/>
        <v>California</v>
      </c>
      <c r="D24" s="91" t="e">
        <f t="shared" si="2"/>
        <v>#REF!</v>
      </c>
      <c r="E24" s="99">
        <v>20</v>
      </c>
      <c r="F24" s="100" cm="1">
        <f t="array" ref="F24">_xlfn.XLOOKUP(G24,Teams[[#All],[Team]],Teams[[#All],[Seed]],0,0,1)</f>
        <v>4</v>
      </c>
      <c r="G24" s="101" t="str">
        <f>Teams!C40</f>
        <v>Cal State Northridge</v>
      </c>
      <c r="H24" s="176" t="s">
        <v>9</v>
      </c>
      <c r="I24" s="102" t="str">
        <f>Teams!C41</f>
        <v>California</v>
      </c>
      <c r="J24" s="103" cm="1">
        <f t="array" ref="J24">_xlfn.XLOOKUP(I24,Teams[[#All],[Team]],Teams[[#All],[Seed]],0,0,1)</f>
        <v>13</v>
      </c>
      <c r="K24" s="82" t="e" vm="103">
        <f>_xlfn.XLOOKUP(G24,Teams!$C:$C,Teams!$E:$E,,0,1)</f>
        <v>#VALUE!</v>
      </c>
      <c r="L24" s="82">
        <f t="shared" ca="1" si="5"/>
        <v>110</v>
      </c>
      <c r="M24" s="82" t="e" vm="104">
        <f>_xlfn.XLOOKUP(I24,Teams!$C:$C,Teams!$E:$E,,0,1)</f>
        <v>#VALUE!</v>
      </c>
      <c r="N24" s="82">
        <f t="shared" ca="1" si="5"/>
        <v>108</v>
      </c>
      <c r="O24" s="190" t="str">
        <f t="shared" ca="1" si="3"/>
        <v>Cal State Northridge</v>
      </c>
      <c r="P24" s="264" t="e" vm="103">
        <f ca="1">_xlfn.XLOOKUP(O24,Teams!$C:$C,Teams!$E:$E,,0,1)</f>
        <v>#VALUE!</v>
      </c>
      <c r="Q24" s="275"/>
      <c r="R24" s="6" t="b">
        <f t="shared" ca="1" si="6"/>
        <v>0</v>
      </c>
      <c r="S24" s="98"/>
    </row>
    <row r="25" spans="1:19" ht="24" customHeight="1" x14ac:dyDescent="0.25">
      <c r="A25" s="91" t="str">
        <f t="shared" si="7"/>
        <v>California Baptist</v>
      </c>
      <c r="B25" s="91" t="str">
        <f t="shared" si="0"/>
        <v>Campbell</v>
      </c>
      <c r="C25" s="91" t="str">
        <f t="shared" ca="1" si="1"/>
        <v>California Baptist</v>
      </c>
      <c r="D25" s="91" t="e">
        <f t="shared" si="2"/>
        <v>#REF!</v>
      </c>
      <c r="E25" s="99">
        <v>21</v>
      </c>
      <c r="F25" s="100" cm="1">
        <f t="array" ref="F25">_xlfn.XLOOKUP(G25,Teams[[#All],[Team]],Teams[[#All],[Seed]],0,0,1)</f>
        <v>6</v>
      </c>
      <c r="G25" s="101" t="str">
        <f>Teams!C42</f>
        <v>California Baptist</v>
      </c>
      <c r="H25" s="176" t="s">
        <v>9</v>
      </c>
      <c r="I25" s="102" t="str">
        <f>Teams!C43</f>
        <v>Campbell</v>
      </c>
      <c r="J25" s="103" cm="1">
        <f t="array" ref="J25">_xlfn.XLOOKUP(I25,Teams[[#All],[Team]],Teams[[#All],[Seed]],0,0,1)</f>
        <v>11</v>
      </c>
      <c r="K25" s="82" t="e" vm="105">
        <f>_xlfn.XLOOKUP(G25,Teams!$C:$C,Teams!$E:$E,,0,1)</f>
        <v>#VALUE!</v>
      </c>
      <c r="L25" s="82">
        <f t="shared" ca="1" si="5"/>
        <v>104</v>
      </c>
      <c r="M25" s="82" t="e" vm="106">
        <f>_xlfn.XLOOKUP(I25,Teams!$C:$C,Teams!$E:$E,,0,1)</f>
        <v>#VALUE!</v>
      </c>
      <c r="N25" s="82">
        <f t="shared" ca="1" si="5"/>
        <v>109</v>
      </c>
      <c r="O25" s="190" t="str">
        <f t="shared" ca="1" si="3"/>
        <v>Campbell</v>
      </c>
      <c r="P25" s="264" t="e" vm="106">
        <f ca="1">_xlfn.XLOOKUP(O25,Teams!$C:$C,Teams!$E:$E,,0,1)</f>
        <v>#VALUE!</v>
      </c>
      <c r="Q25" s="275"/>
      <c r="R25" s="6" t="b">
        <f t="shared" ca="1" si="6"/>
        <v>1</v>
      </c>
      <c r="S25" s="98"/>
    </row>
    <row r="26" spans="1:19" ht="24" customHeight="1" x14ac:dyDescent="0.25">
      <c r="A26" s="91" t="str">
        <f t="shared" si="7"/>
        <v>Canisius</v>
      </c>
      <c r="B26" s="91" t="str">
        <f t="shared" si="0"/>
        <v>Central Arkansas</v>
      </c>
      <c r="C26" s="91" t="str">
        <f t="shared" ca="1" si="1"/>
        <v>Canisius</v>
      </c>
      <c r="D26" s="91" t="e">
        <f t="shared" si="2"/>
        <v>#REF!</v>
      </c>
      <c r="E26" s="99">
        <v>22</v>
      </c>
      <c r="F26" s="100" cm="1">
        <f t="array" ref="F26">_xlfn.XLOOKUP(G26,Teams[[#All],[Team]],Teams[[#All],[Seed]],0,0,1)</f>
        <v>3</v>
      </c>
      <c r="G26" s="101" t="str">
        <f>Teams!C44</f>
        <v>Canisius</v>
      </c>
      <c r="H26" s="176" t="s">
        <v>9</v>
      </c>
      <c r="I26" s="102" t="str">
        <f>Teams!C45</f>
        <v>Central Arkansas</v>
      </c>
      <c r="J26" s="103" cm="1">
        <f t="array" ref="J26">_xlfn.XLOOKUP(I26,Teams[[#All],[Team]],Teams[[#All],[Seed]],0,0,1)</f>
        <v>14</v>
      </c>
      <c r="K26" s="82" t="e" vm="107">
        <f>_xlfn.XLOOKUP(G26,Teams!$C:$C,Teams!$E:$E,,0,1)</f>
        <v>#VALUE!</v>
      </c>
      <c r="L26" s="82">
        <f t="shared" ca="1" si="5"/>
        <v>92</v>
      </c>
      <c r="M26" s="82" t="e" vm="108">
        <f>_xlfn.XLOOKUP(I26,Teams!$C:$C,Teams!$E:$E,,0,1)</f>
        <v>#VALUE!</v>
      </c>
      <c r="N26" s="82">
        <f t="shared" ca="1" si="5"/>
        <v>98</v>
      </c>
      <c r="O26" s="190" t="str">
        <f t="shared" ca="1" si="3"/>
        <v>Central Arkansas</v>
      </c>
      <c r="P26" s="264" t="e" vm="108">
        <f ca="1">_xlfn.XLOOKUP(O26,Teams!$C:$C,Teams!$E:$E,,0,1)</f>
        <v>#VALUE!</v>
      </c>
      <c r="Q26" s="275"/>
      <c r="R26" s="6" t="b">
        <f t="shared" ca="1" si="6"/>
        <v>1</v>
      </c>
      <c r="S26" s="98"/>
    </row>
    <row r="27" spans="1:19" ht="24" customHeight="1" x14ac:dyDescent="0.25">
      <c r="A27" s="91" t="str">
        <f t="shared" si="7"/>
        <v>Central Connecticut State</v>
      </c>
      <c r="B27" s="91" t="str">
        <f t="shared" si="0"/>
        <v>Central Michigan</v>
      </c>
      <c r="C27" s="91" t="str">
        <f t="shared" ca="1" si="1"/>
        <v>Central Connecticut State</v>
      </c>
      <c r="D27" s="91" t="e">
        <f t="shared" si="2"/>
        <v>#REF!</v>
      </c>
      <c r="E27" s="99">
        <v>23</v>
      </c>
      <c r="F27" s="100" cm="1">
        <f t="array" ref="F27">_xlfn.XLOOKUP(G27,Teams[[#All],[Team]],Teams[[#All],[Seed]],0,0,1)</f>
        <v>7</v>
      </c>
      <c r="G27" s="101" t="str">
        <f>Teams!C46</f>
        <v>Central Connecticut State</v>
      </c>
      <c r="H27" s="176" t="s">
        <v>9</v>
      </c>
      <c r="I27" s="102" t="str">
        <f>Teams!C47</f>
        <v>Central Michigan</v>
      </c>
      <c r="J27" s="103" cm="1">
        <f t="array" ref="J27">_xlfn.XLOOKUP(I27,Teams[[#All],[Team]],Teams[[#All],[Seed]],0,0,1)</f>
        <v>10</v>
      </c>
      <c r="K27" s="82" t="e" vm="109">
        <f>_xlfn.XLOOKUP(G27,Teams!$C:$C,Teams!$E:$E,,0,1)</f>
        <v>#VALUE!</v>
      </c>
      <c r="L27" s="82">
        <f t="shared" ca="1" si="5"/>
        <v>93</v>
      </c>
      <c r="M27" s="82" t="e" vm="110">
        <f>_xlfn.XLOOKUP(I27,Teams!$C:$C,Teams!$E:$E,,0,1)</f>
        <v>#VALUE!</v>
      </c>
      <c r="N27" s="82">
        <f t="shared" ca="1" si="5"/>
        <v>94</v>
      </c>
      <c r="O27" s="190" t="str">
        <f t="shared" ca="1" si="3"/>
        <v>Central Michigan</v>
      </c>
      <c r="P27" s="264" t="e" vm="110">
        <f ca="1">_xlfn.XLOOKUP(O27,Teams!$C:$C,Teams!$E:$E,,0,1)</f>
        <v>#VALUE!</v>
      </c>
      <c r="Q27" s="275"/>
      <c r="R27" s="6" t="b">
        <f t="shared" ca="1" si="6"/>
        <v>1</v>
      </c>
      <c r="S27" s="98"/>
    </row>
    <row r="28" spans="1:19" ht="24" customHeight="1" thickBot="1" x14ac:dyDescent="0.3">
      <c r="A28" s="91" t="str">
        <f t="shared" si="7"/>
        <v>Charleston Southern</v>
      </c>
      <c r="B28" s="91" t="str">
        <f t="shared" si="0"/>
        <v>Charlotte</v>
      </c>
      <c r="C28" s="91" t="str">
        <f t="shared" ca="1" si="1"/>
        <v>Charleston Southern</v>
      </c>
      <c r="D28" s="91" t="e">
        <f t="shared" si="2"/>
        <v>#REF!</v>
      </c>
      <c r="E28" s="104">
        <v>24</v>
      </c>
      <c r="F28" s="105" cm="1">
        <f t="array" ref="F28">_xlfn.XLOOKUP(G28,Teams[[#All],[Team]],Teams[[#All],[Seed]],0,0,1)</f>
        <v>2</v>
      </c>
      <c r="G28" s="106" t="str">
        <f>Teams!C48</f>
        <v>Charleston Southern</v>
      </c>
      <c r="H28" s="177" t="s">
        <v>9</v>
      </c>
      <c r="I28" s="107" t="str">
        <f>Teams!C49</f>
        <v>Charlotte</v>
      </c>
      <c r="J28" s="108" cm="1">
        <f t="array" ref="J28">_xlfn.XLOOKUP(I28,Teams[[#All],[Team]],Teams[[#All],[Seed]],0,0,1)</f>
        <v>15</v>
      </c>
      <c r="K28" s="109" t="e" vm="111">
        <f>_xlfn.XLOOKUP(G28,Teams!$C:$C,Teams!$E:$E,,0,1)</f>
        <v>#VALUE!</v>
      </c>
      <c r="L28" s="109">
        <f t="shared" ca="1" si="5"/>
        <v>107</v>
      </c>
      <c r="M28" s="109" t="e" vm="112">
        <f>_xlfn.XLOOKUP(I28,Teams!$C:$C,Teams!$E:$E,,0,1)</f>
        <v>#VALUE!</v>
      </c>
      <c r="N28" s="109">
        <f t="shared" ca="1" si="5"/>
        <v>120</v>
      </c>
      <c r="O28" s="191" t="str">
        <f t="shared" ca="1" si="3"/>
        <v>Charlotte</v>
      </c>
      <c r="P28" s="265" t="e" vm="112">
        <f ca="1">_xlfn.XLOOKUP(O28,Teams!$C:$C,Teams!$E:$E,,0,1)</f>
        <v>#VALUE!</v>
      </c>
      <c r="Q28" s="275"/>
      <c r="R28" s="6" t="b">
        <f t="shared" ca="1" si="6"/>
        <v>1</v>
      </c>
      <c r="S28" s="98"/>
    </row>
    <row r="29" spans="1:19" ht="24" customHeight="1" x14ac:dyDescent="0.25">
      <c r="A29" s="91" t="str">
        <f t="shared" si="7"/>
        <v>Chattanooga</v>
      </c>
      <c r="B29" s="91" t="str">
        <f t="shared" si="0"/>
        <v>Chicago State</v>
      </c>
      <c r="C29" s="91" t="str">
        <f t="shared" ca="1" si="1"/>
        <v>Chicago State</v>
      </c>
      <c r="D29" s="91" t="e">
        <f t="shared" si="2"/>
        <v>#REF!</v>
      </c>
      <c r="E29" s="110">
        <v>25</v>
      </c>
      <c r="F29" s="111" cm="1">
        <f t="array" ref="F29">_xlfn.XLOOKUP(G29,Teams[[#All],[Team]],Teams[[#All],[Seed]],0,0,1)</f>
        <v>1</v>
      </c>
      <c r="G29" s="127" t="str">
        <f>Teams!C50</f>
        <v>Chattanooga</v>
      </c>
      <c r="H29" s="181" t="s">
        <v>9</v>
      </c>
      <c r="I29" s="128" t="str">
        <f>Teams!C51</f>
        <v>Chicago State</v>
      </c>
      <c r="J29" s="114" cm="1">
        <f t="array" ref="J29">_xlfn.XLOOKUP(I29,Teams[[#All],[Team]],Teams[[#All],[Seed]],0,0,1)</f>
        <v>16</v>
      </c>
      <c r="K29" s="115" t="e" vm="113">
        <f>_xlfn.XLOOKUP(G29,Teams!$C:$C,Teams!$E:$E,,0,1)</f>
        <v>#VALUE!</v>
      </c>
      <c r="L29" s="115">
        <f t="shared" ca="1" si="5"/>
        <v>112</v>
      </c>
      <c r="M29" s="115" t="e" vm="114">
        <f>_xlfn.XLOOKUP(I29,Teams!$C:$C,Teams!$E:$E,,0,1)</f>
        <v>#VALUE!</v>
      </c>
      <c r="N29" s="115">
        <f t="shared" ca="1" si="5"/>
        <v>104</v>
      </c>
      <c r="O29" s="192" t="str">
        <f t="shared" ca="1" si="3"/>
        <v>Chattanooga</v>
      </c>
      <c r="P29" s="266" t="e" vm="113">
        <f ca="1">_xlfn.XLOOKUP(O29,Teams!$C:$C,Teams!$E:$E,,0,1)</f>
        <v>#VALUE!</v>
      </c>
      <c r="Q29" s="276"/>
      <c r="R29" s="6" t="b">
        <f t="shared" ca="1" si="6"/>
        <v>0</v>
      </c>
      <c r="S29" s="98"/>
    </row>
    <row r="30" spans="1:19" ht="24" customHeight="1" x14ac:dyDescent="0.25">
      <c r="A30" s="91" t="str">
        <f t="shared" si="7"/>
        <v>Cincinnati</v>
      </c>
      <c r="B30" s="91" t="str">
        <f t="shared" si="0"/>
        <v>Clemson</v>
      </c>
      <c r="C30" s="91" t="str">
        <f t="shared" ca="1" si="1"/>
        <v>Cincinnati</v>
      </c>
      <c r="D30" s="91" t="e">
        <f t="shared" si="2"/>
        <v>#REF!</v>
      </c>
      <c r="E30" s="116">
        <v>26</v>
      </c>
      <c r="F30" s="117" cm="1">
        <f t="array" ref="F30">_xlfn.XLOOKUP(G30,Teams[[#All],[Team]],Teams[[#All],[Seed]],0,0,1)</f>
        <v>8</v>
      </c>
      <c r="G30" s="118" t="str">
        <f>Teams!C52</f>
        <v>Cincinnati</v>
      </c>
      <c r="H30" s="179" t="s">
        <v>9</v>
      </c>
      <c r="I30" s="119" t="str">
        <f>Teams!C53</f>
        <v>Clemson</v>
      </c>
      <c r="J30" s="120" cm="1">
        <f t="array" ref="J30">_xlfn.XLOOKUP(I30,Teams[[#All],[Team]],Teams[[#All],[Seed]],0,0,1)</f>
        <v>9</v>
      </c>
      <c r="K30" s="83" t="e" vm="115">
        <f>_xlfn.XLOOKUP(G30,Teams!$C:$C,Teams!$E:$E,,0,1)</f>
        <v>#VALUE!</v>
      </c>
      <c r="L30" s="83">
        <f t="shared" ca="1" si="5"/>
        <v>91</v>
      </c>
      <c r="M30" s="83" t="e" vm="116">
        <f>_xlfn.XLOOKUP(I30,Teams!$C:$C,Teams!$E:$E,,0,1)</f>
        <v>#VALUE!</v>
      </c>
      <c r="N30" s="83">
        <f t="shared" ca="1" si="5"/>
        <v>112</v>
      </c>
      <c r="O30" s="193" t="str">
        <f t="shared" ca="1" si="3"/>
        <v>Clemson</v>
      </c>
      <c r="P30" s="267" t="e" vm="116">
        <f ca="1">_xlfn.XLOOKUP(O30,Teams!$C:$C,Teams!$E:$E,,0,1)</f>
        <v>#VALUE!</v>
      </c>
      <c r="Q30" s="276"/>
      <c r="R30" s="6" t="b">
        <f t="shared" ca="1" si="6"/>
        <v>1</v>
      </c>
      <c r="S30" s="98"/>
    </row>
    <row r="31" spans="1:19" ht="24" customHeight="1" x14ac:dyDescent="0.25">
      <c r="A31" s="91" t="str">
        <f t="shared" si="7"/>
        <v>Cleveland State</v>
      </c>
      <c r="B31" s="91" t="str">
        <f t="shared" si="0"/>
        <v>Coastal Carolina</v>
      </c>
      <c r="C31" s="91" t="str">
        <f t="shared" ca="1" si="1"/>
        <v>Coastal Carolina</v>
      </c>
      <c r="D31" s="91" t="e">
        <f t="shared" si="2"/>
        <v>#REF!</v>
      </c>
      <c r="E31" s="116">
        <v>27</v>
      </c>
      <c r="F31" s="117" cm="1">
        <f t="array" ref="F31">_xlfn.XLOOKUP(G31,Teams[[#All],[Team]],Teams[[#All],[Seed]],0,0,1)</f>
        <v>5</v>
      </c>
      <c r="G31" s="118" t="str">
        <f>Teams!C54</f>
        <v>Cleveland State</v>
      </c>
      <c r="H31" s="179" t="s">
        <v>9</v>
      </c>
      <c r="I31" s="119" t="str">
        <f>Teams!C55</f>
        <v>Coastal Carolina</v>
      </c>
      <c r="J31" s="120" cm="1">
        <f t="array" ref="J31">_xlfn.XLOOKUP(I31,Teams[[#All],[Team]],Teams[[#All],[Seed]],0,0,1)</f>
        <v>12</v>
      </c>
      <c r="K31" s="83" t="e" vm="117">
        <f>_xlfn.XLOOKUP(G31,Teams!$C:$C,Teams!$E:$E,,0,1)</f>
        <v>#VALUE!</v>
      </c>
      <c r="L31" s="83">
        <f t="shared" ca="1" si="5"/>
        <v>108</v>
      </c>
      <c r="M31" s="83" t="e" vm="118">
        <f>_xlfn.XLOOKUP(I31,Teams!$C:$C,Teams!$E:$E,,0,1)</f>
        <v>#VALUE!</v>
      </c>
      <c r="N31" s="83">
        <f t="shared" ca="1" si="5"/>
        <v>107</v>
      </c>
      <c r="O31" s="193" t="str">
        <f t="shared" ca="1" si="3"/>
        <v>Cleveland State</v>
      </c>
      <c r="P31" s="267" t="e" vm="117">
        <f ca="1">_xlfn.XLOOKUP(O31,Teams!$C:$C,Teams!$E:$E,,0,1)</f>
        <v>#VALUE!</v>
      </c>
      <c r="Q31" s="276"/>
      <c r="R31" s="6" t="b">
        <f t="shared" ca="1" si="6"/>
        <v>0</v>
      </c>
      <c r="S31" s="98"/>
    </row>
    <row r="32" spans="1:19" ht="24" customHeight="1" x14ac:dyDescent="0.25">
      <c r="A32" s="91" t="str">
        <f t="shared" si="7"/>
        <v>Colgate</v>
      </c>
      <c r="B32" s="91" t="str">
        <f t="shared" si="0"/>
        <v>College of Charleston</v>
      </c>
      <c r="C32" s="91" t="str">
        <f t="shared" ca="1" si="1"/>
        <v>Colgate</v>
      </c>
      <c r="D32" s="91" t="e">
        <f t="shared" si="2"/>
        <v>#REF!</v>
      </c>
      <c r="E32" s="116">
        <v>28</v>
      </c>
      <c r="F32" s="117" cm="1">
        <f t="array" ref="F32">_xlfn.XLOOKUP(G32,Teams[[#All],[Team]],Teams[[#All],[Seed]],0,0,1)</f>
        <v>4</v>
      </c>
      <c r="G32" s="118" t="str">
        <f>Teams!C56</f>
        <v>Colgate</v>
      </c>
      <c r="H32" s="179" t="s">
        <v>9</v>
      </c>
      <c r="I32" s="119" t="str">
        <f>Teams!C57</f>
        <v>College of Charleston</v>
      </c>
      <c r="J32" s="120" cm="1">
        <f t="array" ref="J32">_xlfn.XLOOKUP(I32,Teams[[#All],[Team]],Teams[[#All],[Seed]],0,0,1)</f>
        <v>13</v>
      </c>
      <c r="K32" s="83" t="e" vm="119">
        <f>_xlfn.XLOOKUP(G32,Teams!$C:$C,Teams!$E:$E,,0,1)</f>
        <v>#VALUE!</v>
      </c>
      <c r="L32" s="83">
        <f t="shared" ca="1" si="5"/>
        <v>98</v>
      </c>
      <c r="M32" s="83" t="e" vm="120">
        <f>_xlfn.XLOOKUP(I32,Teams!$C:$C,Teams!$E:$E,,0,1)</f>
        <v>#VALUE!</v>
      </c>
      <c r="N32" s="83">
        <f t="shared" ca="1" si="5"/>
        <v>118</v>
      </c>
      <c r="O32" s="193" t="str">
        <f t="shared" ca="1" si="3"/>
        <v>College of Charleston</v>
      </c>
      <c r="P32" s="267" t="e" vm="120">
        <f ca="1">_xlfn.XLOOKUP(O32,Teams!$C:$C,Teams!$E:$E,,0,1)</f>
        <v>#VALUE!</v>
      </c>
      <c r="Q32" s="276"/>
      <c r="R32" s="6" t="b">
        <f t="shared" ca="1" si="6"/>
        <v>1</v>
      </c>
      <c r="S32" s="98"/>
    </row>
    <row r="33" spans="1:19" ht="24" customHeight="1" x14ac:dyDescent="0.25">
      <c r="A33" s="91" t="str">
        <f t="shared" si="7"/>
        <v>Colorado</v>
      </c>
      <c r="B33" s="91" t="str">
        <f t="shared" si="0"/>
        <v>Colorado State</v>
      </c>
      <c r="C33" s="91" t="str">
        <f t="shared" ca="1" si="1"/>
        <v>Colorado State</v>
      </c>
      <c r="D33" s="91" t="e">
        <f t="shared" si="2"/>
        <v>#REF!</v>
      </c>
      <c r="E33" s="116">
        <v>29</v>
      </c>
      <c r="F33" s="117" cm="1">
        <f t="array" ref="F33">_xlfn.XLOOKUP(G33,Teams[[#All],[Team]],Teams[[#All],[Seed]],0,0,1)</f>
        <v>6</v>
      </c>
      <c r="G33" s="118" t="str">
        <f>Teams!C58</f>
        <v>Colorado</v>
      </c>
      <c r="H33" s="179" t="s">
        <v>9</v>
      </c>
      <c r="I33" s="119" t="str">
        <f>Teams!C59</f>
        <v>Colorado State</v>
      </c>
      <c r="J33" s="120" cm="1">
        <f t="array" ref="J33">_xlfn.XLOOKUP(I33,Teams[[#All],[Team]],Teams[[#All],[Seed]],0,0,1)</f>
        <v>11</v>
      </c>
      <c r="K33" s="83" t="e" vm="121">
        <f>_xlfn.XLOOKUP(G33,Teams!$C:$C,Teams!$E:$E,,0,1)</f>
        <v>#VALUE!</v>
      </c>
      <c r="L33" s="83">
        <f t="shared" ca="1" si="5"/>
        <v>101</v>
      </c>
      <c r="M33" s="83" t="e" vm="122">
        <f>_xlfn.XLOOKUP(I33,Teams!$C:$C,Teams!$E:$E,,0,1)</f>
        <v>#VALUE!</v>
      </c>
      <c r="N33" s="83">
        <f t="shared" ca="1" si="5"/>
        <v>91</v>
      </c>
      <c r="O33" s="193" t="str">
        <f t="shared" ca="1" si="3"/>
        <v>Colorado</v>
      </c>
      <c r="P33" s="267" t="e" vm="121">
        <f ca="1">_xlfn.XLOOKUP(O33,Teams!$C:$C,Teams!$E:$E,,0,1)</f>
        <v>#VALUE!</v>
      </c>
      <c r="Q33" s="276"/>
      <c r="R33" s="6" t="b">
        <f t="shared" ca="1" si="6"/>
        <v>0</v>
      </c>
      <c r="S33" s="98"/>
    </row>
    <row r="34" spans="1:19" ht="24" customHeight="1" x14ac:dyDescent="0.25">
      <c r="A34" s="91" t="str">
        <f t="shared" si="7"/>
        <v>Columbia</v>
      </c>
      <c r="B34" s="91" t="str">
        <f t="shared" si="0"/>
        <v>Connecticut</v>
      </c>
      <c r="C34" s="91" t="str">
        <f t="shared" ca="1" si="1"/>
        <v>Columbia</v>
      </c>
      <c r="D34" s="91" t="e">
        <f t="shared" si="2"/>
        <v>#REF!</v>
      </c>
      <c r="E34" s="116">
        <v>30</v>
      </c>
      <c r="F34" s="117" cm="1">
        <f t="array" ref="F34">_xlfn.XLOOKUP(G34,Teams[[#All],[Team]],Teams[[#All],[Seed]],0,0,1)</f>
        <v>3</v>
      </c>
      <c r="G34" s="118" t="str">
        <f>Teams!C60</f>
        <v>Columbia</v>
      </c>
      <c r="H34" s="179" t="s">
        <v>9</v>
      </c>
      <c r="I34" s="119" t="str">
        <f>Teams!C61</f>
        <v>Connecticut</v>
      </c>
      <c r="J34" s="120" cm="1">
        <f t="array" ref="J34">_xlfn.XLOOKUP(I34,Teams[[#All],[Team]],Teams[[#All],[Seed]],0,0,1)</f>
        <v>14</v>
      </c>
      <c r="K34" s="83" t="e" vm="123">
        <f>_xlfn.XLOOKUP(G34,Teams!$C:$C,Teams!$E:$E,,0,1)</f>
        <v>#VALUE!</v>
      </c>
      <c r="L34" s="83">
        <f t="shared" ca="1" si="5"/>
        <v>99</v>
      </c>
      <c r="M34" s="83" t="e" vm="124">
        <f>_xlfn.XLOOKUP(I34,Teams!$C:$C,Teams!$E:$E,,0,1)</f>
        <v>#VALUE!</v>
      </c>
      <c r="N34" s="83">
        <f t="shared" ca="1" si="5"/>
        <v>102</v>
      </c>
      <c r="O34" s="193" t="str">
        <f t="shared" ca="1" si="3"/>
        <v>Connecticut</v>
      </c>
      <c r="P34" s="267" t="e" vm="124">
        <f ca="1">_xlfn.XLOOKUP(O34,Teams!$C:$C,Teams!$E:$E,,0,1)</f>
        <v>#VALUE!</v>
      </c>
      <c r="Q34" s="276"/>
      <c r="R34" s="6" t="b">
        <f t="shared" ca="1" si="6"/>
        <v>1</v>
      </c>
      <c r="S34" s="98"/>
    </row>
    <row r="35" spans="1:19" ht="24" customHeight="1" x14ac:dyDescent="0.25">
      <c r="A35" s="91" t="str">
        <f t="shared" si="7"/>
        <v>Coppin State</v>
      </c>
      <c r="B35" s="91" t="str">
        <f t="shared" si="0"/>
        <v>Cornell</v>
      </c>
      <c r="C35" s="91" t="str">
        <f t="shared" ca="1" si="1"/>
        <v>Cornell</v>
      </c>
      <c r="D35" s="91" t="e">
        <f t="shared" si="2"/>
        <v>#REF!</v>
      </c>
      <c r="E35" s="116">
        <v>31</v>
      </c>
      <c r="F35" s="117" cm="1">
        <f t="array" ref="F35">_xlfn.XLOOKUP(G35,Teams[[#All],[Team]],Teams[[#All],[Seed]],0,0,1)</f>
        <v>7</v>
      </c>
      <c r="G35" s="118" t="str">
        <f>Teams!C62</f>
        <v>Coppin State</v>
      </c>
      <c r="H35" s="179" t="s">
        <v>9</v>
      </c>
      <c r="I35" s="119" t="str">
        <f>Teams!C63</f>
        <v>Cornell</v>
      </c>
      <c r="J35" s="120" cm="1">
        <f t="array" ref="J35">_xlfn.XLOOKUP(I35,Teams[[#All],[Team]],Teams[[#All],[Seed]],0,0,1)</f>
        <v>10</v>
      </c>
      <c r="K35" s="83" t="e" vm="125">
        <f>_xlfn.XLOOKUP(G35,Teams!$C:$C,Teams!$E:$E,,0,1)</f>
        <v>#VALUE!</v>
      </c>
      <c r="L35" s="83">
        <f t="shared" ca="1" si="5"/>
        <v>113</v>
      </c>
      <c r="M35" s="83" t="e" vm="126">
        <f>_xlfn.XLOOKUP(I35,Teams!$C:$C,Teams!$E:$E,,0,1)</f>
        <v>#VALUE!</v>
      </c>
      <c r="N35" s="83">
        <f t="shared" ca="1" si="5"/>
        <v>99</v>
      </c>
      <c r="O35" s="193" t="str">
        <f t="shared" ca="1" si="3"/>
        <v>Coppin State</v>
      </c>
      <c r="P35" s="267" t="e" vm="125">
        <f ca="1">_xlfn.XLOOKUP(O35,Teams!$C:$C,Teams!$E:$E,,0,1)</f>
        <v>#VALUE!</v>
      </c>
      <c r="Q35" s="276"/>
      <c r="R35" s="6" t="b">
        <f t="shared" ca="1" si="6"/>
        <v>0</v>
      </c>
      <c r="S35" s="98"/>
    </row>
    <row r="36" spans="1:19" ht="24" customHeight="1" thickBot="1" x14ac:dyDescent="0.3">
      <c r="A36" s="91" t="str">
        <f t="shared" si="7"/>
        <v>Creighton</v>
      </c>
      <c r="B36" s="91" t="str">
        <f t="shared" si="0"/>
        <v>Dartmouth</v>
      </c>
      <c r="C36" s="91" t="str">
        <f t="shared" ca="1" si="1"/>
        <v>Creighton</v>
      </c>
      <c r="D36" s="91" t="e">
        <f t="shared" si="2"/>
        <v>#REF!</v>
      </c>
      <c r="E36" s="121">
        <v>32</v>
      </c>
      <c r="F36" s="122" cm="1">
        <f t="array" ref="F36">_xlfn.XLOOKUP(G36,Teams[[#All],[Team]],Teams[[#All],[Seed]],0,0,1)</f>
        <v>2</v>
      </c>
      <c r="G36" s="123" t="str">
        <f>Teams!C64</f>
        <v>Creighton</v>
      </c>
      <c r="H36" s="180" t="s">
        <v>9</v>
      </c>
      <c r="I36" s="124" t="str">
        <f>Teams!C65</f>
        <v>Dartmouth</v>
      </c>
      <c r="J36" s="125" cm="1">
        <f t="array" ref="J36">_xlfn.XLOOKUP(I36,Teams[[#All],[Team]],Teams[[#All],[Seed]],0,0,1)</f>
        <v>15</v>
      </c>
      <c r="K36" s="126" t="e" vm="127">
        <f>_xlfn.XLOOKUP(G36,Teams!$C:$C,Teams!$E:$E,,0,1)</f>
        <v>#VALUE!</v>
      </c>
      <c r="L36" s="126">
        <f t="shared" ca="1" si="5"/>
        <v>103</v>
      </c>
      <c r="M36" s="126" t="e" vm="128">
        <f>_xlfn.XLOOKUP(I36,Teams!$C:$C,Teams!$E:$E,,0,1)</f>
        <v>#VALUE!</v>
      </c>
      <c r="N36" s="126">
        <f t="shared" ca="1" si="5"/>
        <v>103</v>
      </c>
      <c r="O36" s="194" t="str">
        <f t="shared" ca="1" si="3"/>
        <v>Dartmouth</v>
      </c>
      <c r="P36" s="268" t="e" vm="128">
        <f ca="1">_xlfn.XLOOKUP(O36,Teams!$C:$C,Teams!$E:$E,,0,1)</f>
        <v>#VALUE!</v>
      </c>
      <c r="Q36" s="276"/>
      <c r="R36" s="6" t="b">
        <f t="shared" ca="1" si="6"/>
        <v>1</v>
      </c>
      <c r="S36" s="98"/>
    </row>
    <row r="37" spans="1:19" ht="24" customHeight="1" thickBot="1" x14ac:dyDescent="0.3">
      <c r="E37" s="67" t="s">
        <v>10</v>
      </c>
      <c r="F37" s="256" t="str">
        <f>Bracket!F2</f>
        <v>Second Round</v>
      </c>
      <c r="G37" s="256"/>
      <c r="H37" s="256"/>
      <c r="I37" s="256"/>
      <c r="J37" s="256"/>
      <c r="K37" s="68"/>
      <c r="L37" s="68"/>
      <c r="M37" s="68"/>
      <c r="N37" s="68"/>
      <c r="O37" s="68" t="s">
        <v>8</v>
      </c>
      <c r="P37" s="68"/>
      <c r="Q37" s="274"/>
      <c r="S37" s="98"/>
    </row>
    <row r="38" spans="1:19" ht="24" customHeight="1" x14ac:dyDescent="0.25">
      <c r="A38" s="91" t="str">
        <f ca="1">G38</f>
        <v>Air Force</v>
      </c>
      <c r="B38" s="91" t="str">
        <f ca="1">I38</f>
        <v>Alabama</v>
      </c>
      <c r="C38" s="91" t="str">
        <f t="shared" ref="C38:C53" ca="1" si="8">IF(O38="","",IF(A38=O38,B38,A38))</f>
        <v>Air Force</v>
      </c>
      <c r="D38" s="91" t="e">
        <f t="shared" ref="D38:D53" si="9">IF(SeedType=1,0,IF(SeedType=2,VLOOKUP(O38,SeedInfo,2,FALSE)*2,MAX(VLOOKUP(O38,SeedInfo,2,FALSE)-VLOOKUP(C38,SeedInfo,2,FALSE),0)))</f>
        <v>#REF!</v>
      </c>
      <c r="E38" s="129">
        <f>Bracket!F7</f>
        <v>33</v>
      </c>
      <c r="F38" s="130" cm="1">
        <f t="array" aca="1" ref="F38" ca="1">_xlfn.XLOOKUP(G38,Teams[[#All],[Team]],Teams[[#All],[Seed]],0,0,1)</f>
        <v>16</v>
      </c>
      <c r="G38" s="131" t="str">
        <f ca="1">O5</f>
        <v>Air Force</v>
      </c>
      <c r="H38" s="182" t="s">
        <v>9</v>
      </c>
      <c r="I38" s="132" t="str">
        <f ca="1">O6</f>
        <v>Alabama</v>
      </c>
      <c r="J38" s="133" cm="1">
        <f t="array" aca="1" ref="J38" ca="1">_xlfn.XLOOKUP(I38,Teams[[#All],[Team]],Teams[[#All],[Seed]],0,0,1)</f>
        <v>9</v>
      </c>
      <c r="K38" s="84" t="e" vm="66">
        <f ca="1">_xlfn.XLOOKUP(G38,Teams!$C:$C,Teams!$E:$E,,0,1)</f>
        <v>#VALUE!</v>
      </c>
      <c r="L38" s="84">
        <f t="shared" ref="L38:N72" ca="1" si="10">RANDBETWEEN(90,120)</f>
        <v>92</v>
      </c>
      <c r="M38" s="84" t="e" vm="68">
        <f ca="1">_xlfn.XLOOKUP(I38,Teams!$C:$C,Teams!$E:$E,,0,1)</f>
        <v>#VALUE!</v>
      </c>
      <c r="N38" s="84">
        <f t="shared" ca="1" si="10"/>
        <v>108</v>
      </c>
      <c r="O38" s="195" t="str">
        <f t="shared" ref="O38:O53" ca="1" si="11">IF(L38&gt;N38,G38,I38)</f>
        <v>Alabama</v>
      </c>
      <c r="P38" s="269" t="e" vm="68">
        <f ca="1">_xlfn.XLOOKUP(O38,Teams!$C:$C,Teams!$E:$E,,0,1)</f>
        <v>#VALUE!</v>
      </c>
      <c r="Q38" s="275"/>
      <c r="R38" s="6" t="b">
        <f t="shared" ca="1" si="6"/>
        <v>0</v>
      </c>
      <c r="S38" s="98"/>
    </row>
    <row r="39" spans="1:19" ht="24" customHeight="1" x14ac:dyDescent="0.25">
      <c r="A39" s="91" t="str">
        <f t="shared" ref="A39:A53" ca="1" si="12">G39</f>
        <v>Alabama A&amp;M</v>
      </c>
      <c r="B39" s="91" t="str">
        <f t="shared" ref="B39:B53" ca="1" si="13">I39</f>
        <v>Alcorn State</v>
      </c>
      <c r="C39" s="91" t="str">
        <f t="shared" ca="1" si="8"/>
        <v>Alabama A&amp;M</v>
      </c>
      <c r="D39" s="91" t="e">
        <f t="shared" si="9"/>
        <v>#REF!</v>
      </c>
      <c r="E39" s="99">
        <v>34</v>
      </c>
      <c r="F39" s="100" cm="1">
        <f t="array" aca="1" ref="F39" ca="1">_xlfn.XLOOKUP(G39,Teams[[#All],[Team]],Teams[[#All],[Seed]],0,0,1)</f>
        <v>5</v>
      </c>
      <c r="G39" s="101" t="str">
        <f ca="1">O7</f>
        <v>Alabama A&amp;M</v>
      </c>
      <c r="H39" s="176" t="s">
        <v>9</v>
      </c>
      <c r="I39" s="102" t="str">
        <f ca="1">O8</f>
        <v>Alcorn State</v>
      </c>
      <c r="J39" s="103" cm="1">
        <f t="array" aca="1" ref="J39" ca="1">_xlfn.XLOOKUP(I39,Teams[[#All],[Team]],Teams[[#All],[Seed]],0,0,1)</f>
        <v>13</v>
      </c>
      <c r="K39" s="82" t="e" vm="69">
        <f ca="1">_xlfn.XLOOKUP(G39,Teams!$C:$C,Teams!$E:$E,,0,1)</f>
        <v>#VALUE!</v>
      </c>
      <c r="L39" s="82">
        <f t="shared" ca="1" si="10"/>
        <v>100</v>
      </c>
      <c r="M39" s="82" t="e" vm="72">
        <f ca="1">_xlfn.XLOOKUP(I39,Teams!$C:$C,Teams!$E:$E,,0,1)</f>
        <v>#VALUE!</v>
      </c>
      <c r="N39" s="82">
        <f t="shared" ca="1" si="10"/>
        <v>112</v>
      </c>
      <c r="O39" s="190" t="str">
        <f t="shared" ca="1" si="11"/>
        <v>Alcorn State</v>
      </c>
      <c r="P39" s="264" t="e" vm="72">
        <f ca="1">_xlfn.XLOOKUP(O39,Teams!$C:$C,Teams!$E:$E,,0,1)</f>
        <v>#VALUE!</v>
      </c>
      <c r="Q39" s="275"/>
      <c r="R39" s="6" t="b">
        <f t="shared" ca="1" si="6"/>
        <v>1</v>
      </c>
      <c r="S39" s="98"/>
    </row>
    <row r="40" spans="1:19" ht="24" customHeight="1" x14ac:dyDescent="0.25">
      <c r="A40" s="91" t="str">
        <f t="shared" ca="1" si="12"/>
        <v>American</v>
      </c>
      <c r="B40" s="91" t="str">
        <f t="shared" ca="1" si="13"/>
        <v>Arizona</v>
      </c>
      <c r="C40" s="91" t="str">
        <f t="shared" ca="1" si="8"/>
        <v>Arizona</v>
      </c>
      <c r="D40" s="91" t="e">
        <f t="shared" si="9"/>
        <v>#REF!</v>
      </c>
      <c r="E40" s="99">
        <v>35</v>
      </c>
      <c r="F40" s="100" cm="1">
        <f t="array" aca="1" ref="F40" ca="1">_xlfn.XLOOKUP(G40,Teams[[#All],[Team]],Teams[[#All],[Seed]],0,0,1)</f>
        <v>6</v>
      </c>
      <c r="G40" s="101" t="str">
        <f ca="1">O9</f>
        <v>American</v>
      </c>
      <c r="H40" s="176" t="s">
        <v>9</v>
      </c>
      <c r="I40" s="102" t="str">
        <f ca="1">O10</f>
        <v>Arizona</v>
      </c>
      <c r="J40" s="103" cm="1">
        <f t="array" aca="1" ref="J40" ca="1">_xlfn.XLOOKUP(I40,Teams[[#All],[Team]],Teams[[#All],[Seed]],0,0,1)</f>
        <v>3</v>
      </c>
      <c r="K40" s="82" t="e" vm="73">
        <f ca="1">_xlfn.XLOOKUP(G40,Teams!$C:$C,Teams!$E:$E,,0,1)</f>
        <v>#VALUE!</v>
      </c>
      <c r="L40" s="82">
        <f t="shared" ca="1" si="10"/>
        <v>103</v>
      </c>
      <c r="M40" s="82" t="e" vm="75">
        <f ca="1">_xlfn.XLOOKUP(I40,Teams!$C:$C,Teams!$E:$E,,0,1)</f>
        <v>#VALUE!</v>
      </c>
      <c r="N40" s="82">
        <f t="shared" ca="1" si="10"/>
        <v>97</v>
      </c>
      <c r="O40" s="190" t="str">
        <f t="shared" ca="1" si="11"/>
        <v>American</v>
      </c>
      <c r="P40" s="264" t="e" vm="73">
        <f ca="1">_xlfn.XLOOKUP(O40,Teams!$C:$C,Teams!$E:$E,,0,1)</f>
        <v>#VALUE!</v>
      </c>
      <c r="Q40" s="275"/>
      <c r="R40" s="6" t="b">
        <f t="shared" ca="1" si="6"/>
        <v>1</v>
      </c>
      <c r="S40" s="98"/>
    </row>
    <row r="41" spans="1:19" ht="24" customHeight="1" thickBot="1" x14ac:dyDescent="0.3">
      <c r="A41" s="91" t="str">
        <f t="shared" ca="1" si="12"/>
        <v>Arkansas State</v>
      </c>
      <c r="B41" s="91" t="str">
        <f t="shared" ca="1" si="13"/>
        <v>Army</v>
      </c>
      <c r="C41" s="91" t="str">
        <f t="shared" ca="1" si="8"/>
        <v>Army</v>
      </c>
      <c r="D41" s="91" t="e">
        <f t="shared" si="9"/>
        <v>#REF!</v>
      </c>
      <c r="E41" s="134">
        <v>36</v>
      </c>
      <c r="F41" s="135" cm="1">
        <f t="array" aca="1" ref="F41" ca="1">_xlfn.XLOOKUP(G41,Teams[[#All],[Team]],Teams[[#All],[Seed]],0,0,1)</f>
        <v>10</v>
      </c>
      <c r="G41" s="136" t="str">
        <f ca="1">O11</f>
        <v>Arkansas State</v>
      </c>
      <c r="H41" s="183" t="s">
        <v>9</v>
      </c>
      <c r="I41" s="137" t="str">
        <f ca="1">O12</f>
        <v>Army</v>
      </c>
      <c r="J41" s="138" cm="1">
        <f t="array" aca="1" ref="J41" ca="1">_xlfn.XLOOKUP(I41,Teams[[#All],[Team]],Teams[[#All],[Seed]],0,0,1)</f>
        <v>15</v>
      </c>
      <c r="K41" s="139" t="e" vm="78">
        <f ca="1">_xlfn.XLOOKUP(G41,Teams!$C:$C,Teams!$E:$E,,0,1)</f>
        <v>#VALUE!</v>
      </c>
      <c r="L41" s="139">
        <f t="shared" ca="1" si="10"/>
        <v>117</v>
      </c>
      <c r="M41" s="139" t="e" vm="80">
        <f ca="1">_xlfn.XLOOKUP(I41,Teams!$C:$C,Teams!$E:$E,,0,1)</f>
        <v>#VALUE!</v>
      </c>
      <c r="N41" s="139">
        <f t="shared" ca="1" si="10"/>
        <v>112</v>
      </c>
      <c r="O41" s="196" t="str">
        <f t="shared" ca="1" si="11"/>
        <v>Arkansas State</v>
      </c>
      <c r="P41" s="270" t="e" vm="78">
        <f ca="1">_xlfn.XLOOKUP(O41,Teams!$C:$C,Teams!$E:$E,,0,1)</f>
        <v>#VALUE!</v>
      </c>
      <c r="Q41" s="275"/>
      <c r="R41" s="6" t="b">
        <f t="shared" ca="1" si="6"/>
        <v>0</v>
      </c>
      <c r="S41" s="98"/>
    </row>
    <row r="42" spans="1:19" ht="24" customHeight="1" x14ac:dyDescent="0.25">
      <c r="A42" s="91" t="str">
        <f t="shared" ca="1" si="12"/>
        <v>Auburn</v>
      </c>
      <c r="B42" s="91" t="str">
        <f t="shared" ca="1" si="13"/>
        <v>Baylor</v>
      </c>
      <c r="C42" s="91" t="str">
        <f t="shared" ca="1" si="8"/>
        <v>Baylor</v>
      </c>
      <c r="D42" s="91" t="e">
        <f t="shared" si="9"/>
        <v>#REF!</v>
      </c>
      <c r="E42" s="140">
        <v>37</v>
      </c>
      <c r="F42" s="141" cm="1">
        <f t="array" aca="1" ref="F42" ca="1">_xlfn.XLOOKUP(G42,Teams[[#All],[Team]],Teams[[#All],[Seed]],0,0,1)</f>
        <v>1</v>
      </c>
      <c r="G42" s="142" t="str">
        <f ca="1">O13</f>
        <v>Auburn</v>
      </c>
      <c r="H42" s="184" t="s">
        <v>9</v>
      </c>
      <c r="I42" s="143" t="str">
        <f ca="1">O14</f>
        <v>Baylor</v>
      </c>
      <c r="J42" s="144" cm="1">
        <f t="array" aca="1" ref="J42" ca="1">_xlfn.XLOOKUP(I42,Teams[[#All],[Team]],Teams[[#All],[Seed]],0,0,1)</f>
        <v>9</v>
      </c>
      <c r="K42" s="145" t="e" vm="81">
        <f ca="1">_xlfn.XLOOKUP(G42,Teams!$C:$C,Teams!$E:$E,,0,1)</f>
        <v>#VALUE!</v>
      </c>
      <c r="L42" s="145">
        <f t="shared" ca="1" si="10"/>
        <v>106</v>
      </c>
      <c r="M42" s="145" t="e" vm="84">
        <f ca="1">_xlfn.XLOOKUP(I42,Teams!$C:$C,Teams!$E:$E,,0,1)</f>
        <v>#VALUE!</v>
      </c>
      <c r="N42" s="145">
        <f t="shared" ca="1" si="10"/>
        <v>90</v>
      </c>
      <c r="O42" s="197" t="str">
        <f t="shared" ca="1" si="11"/>
        <v>Auburn</v>
      </c>
      <c r="P42" s="271" t="e" vm="81">
        <f ca="1">_xlfn.XLOOKUP(O42,Teams!$C:$C,Teams!$E:$E,,0,1)</f>
        <v>#VALUE!</v>
      </c>
      <c r="Q42" s="276"/>
      <c r="R42" s="6" t="b">
        <f t="shared" ca="1" si="6"/>
        <v>0</v>
      </c>
      <c r="S42" s="98"/>
    </row>
    <row r="43" spans="1:19" ht="24" customHeight="1" x14ac:dyDescent="0.25">
      <c r="A43" s="91" t="str">
        <f t="shared" ca="1" si="12"/>
        <v>Belmont</v>
      </c>
      <c r="B43" s="91" t="str">
        <f t="shared" ca="1" si="13"/>
        <v>Binghamton</v>
      </c>
      <c r="C43" s="91" t="str">
        <f t="shared" ca="1" si="8"/>
        <v>Belmont</v>
      </c>
      <c r="D43" s="91" t="e">
        <f t="shared" si="9"/>
        <v>#REF!</v>
      </c>
      <c r="E43" s="116">
        <v>38</v>
      </c>
      <c r="F43" s="117" cm="1">
        <f t="array" aca="1" ref="F43" ca="1">_xlfn.XLOOKUP(G43,Teams[[#All],[Team]],Teams[[#All],[Seed]],0,0,1)</f>
        <v>12</v>
      </c>
      <c r="G43" s="118" t="str">
        <f ca="1">O15</f>
        <v>Belmont</v>
      </c>
      <c r="H43" s="179" t="s">
        <v>9</v>
      </c>
      <c r="I43" s="119" t="str">
        <f ca="1">O16</f>
        <v>Binghamton</v>
      </c>
      <c r="J43" s="120" cm="1">
        <f t="array" aca="1" ref="J43" ca="1">_xlfn.XLOOKUP(I43,Teams[[#All],[Team]],Teams[[#All],[Seed]],0,0,1)</f>
        <v>13</v>
      </c>
      <c r="K43" s="83" t="e" vm="86">
        <f ca="1">_xlfn.XLOOKUP(G43,Teams!$C:$C,Teams!$E:$E,,0,1)</f>
        <v>#VALUE!</v>
      </c>
      <c r="L43" s="83">
        <f t="shared" ca="1" si="10"/>
        <v>95</v>
      </c>
      <c r="M43" s="83" t="e" vm="88">
        <f ca="1">_xlfn.XLOOKUP(I43,Teams!$C:$C,Teams!$E:$E,,0,1)</f>
        <v>#VALUE!</v>
      </c>
      <c r="N43" s="83">
        <f t="shared" ca="1" si="10"/>
        <v>115</v>
      </c>
      <c r="O43" s="193" t="str">
        <f t="shared" ca="1" si="11"/>
        <v>Binghamton</v>
      </c>
      <c r="P43" s="267" t="e" vm="88">
        <f ca="1">_xlfn.XLOOKUP(O43,Teams!$C:$C,Teams!$E:$E,,0,1)</f>
        <v>#VALUE!</v>
      </c>
      <c r="Q43" s="276"/>
      <c r="R43" s="6" t="b">
        <f t="shared" ca="1" si="6"/>
        <v>1</v>
      </c>
      <c r="S43" s="98"/>
    </row>
    <row r="44" spans="1:19" ht="24" customHeight="1" x14ac:dyDescent="0.25">
      <c r="A44" s="91" t="str">
        <f t="shared" ca="1" si="12"/>
        <v>Boston College</v>
      </c>
      <c r="B44" s="91" t="str">
        <f t="shared" ca="1" si="13"/>
        <v>Bowling Green</v>
      </c>
      <c r="C44" s="91" t="str">
        <f t="shared" ca="1" si="8"/>
        <v>Bowling Green</v>
      </c>
      <c r="D44" s="91" t="e">
        <f t="shared" si="9"/>
        <v>#REF!</v>
      </c>
      <c r="E44" s="116">
        <v>39</v>
      </c>
      <c r="F44" s="117" cm="1">
        <f t="array" aca="1" ref="F44" ca="1">_xlfn.XLOOKUP(G44,Teams[[#All],[Team]],Teams[[#All],[Seed]],0,0,1)</f>
        <v>11</v>
      </c>
      <c r="G44" s="118" t="str">
        <f ca="1">O17</f>
        <v>Boston College</v>
      </c>
      <c r="H44" s="179" t="s">
        <v>9</v>
      </c>
      <c r="I44" s="119" t="str">
        <f ca="1">O18</f>
        <v>Bowling Green</v>
      </c>
      <c r="J44" s="120" cm="1">
        <f t="array" aca="1" ref="J44" ca="1">_xlfn.XLOOKUP(I44,Teams[[#All],[Team]],Teams[[#All],[Seed]],0,0,1)</f>
        <v>14</v>
      </c>
      <c r="K44" s="83" t="e" vm="90">
        <f ca="1">_xlfn.XLOOKUP(G44,Teams!$C:$C,Teams!$E:$E,,0,1)</f>
        <v>#VALUE!</v>
      </c>
      <c r="L44" s="83">
        <f t="shared" ca="1" si="10"/>
        <v>117</v>
      </c>
      <c r="M44" s="83" t="e" vm="92">
        <f ca="1">_xlfn.XLOOKUP(I44,Teams!$C:$C,Teams!$E:$E,,0,1)</f>
        <v>#VALUE!</v>
      </c>
      <c r="N44" s="83">
        <f t="shared" ca="1" si="10"/>
        <v>112</v>
      </c>
      <c r="O44" s="193" t="str">
        <f t="shared" ca="1" si="11"/>
        <v>Boston College</v>
      </c>
      <c r="P44" s="267" t="e" vm="90">
        <f ca="1">_xlfn.XLOOKUP(O44,Teams!$C:$C,Teams!$E:$E,,0,1)</f>
        <v>#VALUE!</v>
      </c>
      <c r="Q44" s="276"/>
      <c r="R44" s="6" t="b">
        <f t="shared" ca="1" si="6"/>
        <v>0</v>
      </c>
      <c r="S44" s="98"/>
    </row>
    <row r="45" spans="1:19" ht="24" customHeight="1" thickBot="1" x14ac:dyDescent="0.3">
      <c r="A45" s="91" t="str">
        <f t="shared" ca="1" si="12"/>
        <v>Brigham Young</v>
      </c>
      <c r="B45" s="91" t="str">
        <f t="shared" ca="1" si="13"/>
        <v>Brown</v>
      </c>
      <c r="C45" s="91" t="str">
        <f t="shared" ca="1" si="8"/>
        <v>Brigham Young</v>
      </c>
      <c r="D45" s="91" t="e">
        <f t="shared" si="9"/>
        <v>#REF!</v>
      </c>
      <c r="E45" s="146">
        <v>40</v>
      </c>
      <c r="F45" s="147" cm="1">
        <f t="array" aca="1" ref="F45" ca="1">_xlfn.XLOOKUP(G45,Teams[[#All],[Team]],Teams[[#All],[Seed]],0,0,1)</f>
        <v>10</v>
      </c>
      <c r="G45" s="148" t="str">
        <f ca="1">O19</f>
        <v>Brigham Young</v>
      </c>
      <c r="H45" s="185" t="s">
        <v>9</v>
      </c>
      <c r="I45" s="149" t="str">
        <f ca="1">O20</f>
        <v>Brown</v>
      </c>
      <c r="J45" s="150" cm="1">
        <f t="array" aca="1" ref="J45" ca="1">_xlfn.XLOOKUP(I45,Teams[[#All],[Team]],Teams[[#All],[Seed]],0,0,1)</f>
        <v>2</v>
      </c>
      <c r="K45" s="151" t="e" vm="94">
        <f ca="1">_xlfn.XLOOKUP(G45,Teams!$C:$C,Teams!$E:$E,,0,1)</f>
        <v>#VALUE!</v>
      </c>
      <c r="L45" s="151">
        <f t="shared" ca="1" si="10"/>
        <v>105</v>
      </c>
      <c r="M45" s="151" t="e" vm="95">
        <f ca="1">_xlfn.XLOOKUP(I45,Teams!$C:$C,Teams!$E:$E,,0,1)</f>
        <v>#VALUE!</v>
      </c>
      <c r="N45" s="151">
        <f t="shared" ca="1" si="10"/>
        <v>114</v>
      </c>
      <c r="O45" s="198" t="str">
        <f t="shared" ca="1" si="11"/>
        <v>Brown</v>
      </c>
      <c r="P45" s="272" t="e" vm="95">
        <f ca="1">_xlfn.XLOOKUP(O45,Teams!$C:$C,Teams!$E:$E,,0,1)</f>
        <v>#VALUE!</v>
      </c>
      <c r="Q45" s="276"/>
      <c r="R45" s="6" t="b">
        <f t="shared" ca="1" si="6"/>
        <v>0</v>
      </c>
      <c r="S45" s="98"/>
    </row>
    <row r="46" spans="1:19" ht="24" customHeight="1" x14ac:dyDescent="0.25">
      <c r="A46" s="152" t="str">
        <f t="shared" ca="1" si="12"/>
        <v>Bucknell</v>
      </c>
      <c r="B46" s="152" t="str">
        <f t="shared" ca="1" si="13"/>
        <v>Cal Poly</v>
      </c>
      <c r="C46" s="152" t="str">
        <f t="shared" ca="1" si="8"/>
        <v>Bucknell</v>
      </c>
      <c r="D46" s="152" t="e">
        <f t="shared" si="9"/>
        <v>#REF!</v>
      </c>
      <c r="E46" s="129">
        <v>41</v>
      </c>
      <c r="F46" s="130" cm="1">
        <f t="array" aca="1" ref="F46" ca="1">_xlfn.XLOOKUP(G46,Teams[[#All],[Team]],Teams[[#All],[Seed]],0,0,1)</f>
        <v>1</v>
      </c>
      <c r="G46" s="131" t="str">
        <f ca="1">O21</f>
        <v>Bucknell</v>
      </c>
      <c r="H46" s="182" t="s">
        <v>9</v>
      </c>
      <c r="I46" s="132" t="str">
        <f ca="1">O22</f>
        <v>Cal Poly</v>
      </c>
      <c r="J46" s="133" cm="1">
        <f t="array" aca="1" ref="J46" ca="1">_xlfn.XLOOKUP(I46,Teams[[#All],[Team]],Teams[[#All],[Seed]],0,0,1)</f>
        <v>9</v>
      </c>
      <c r="K46" s="84" t="e" vm="97">
        <f ca="1">_xlfn.XLOOKUP(G46,Teams!$C:$C,Teams!$E:$E,,0,1)</f>
        <v>#VALUE!</v>
      </c>
      <c r="L46" s="84">
        <f t="shared" ca="1" si="10"/>
        <v>116</v>
      </c>
      <c r="M46" s="84" t="e" vm="100">
        <f ca="1">_xlfn.XLOOKUP(I46,Teams!$C:$C,Teams!$E:$E,,0,1)</f>
        <v>#VALUE!</v>
      </c>
      <c r="N46" s="84">
        <f t="shared" ca="1" si="10"/>
        <v>118</v>
      </c>
      <c r="O46" s="195" t="str">
        <f t="shared" ca="1" si="11"/>
        <v>Cal Poly</v>
      </c>
      <c r="P46" s="269" t="e" vm="100">
        <f ca="1">_xlfn.XLOOKUP(O46,Teams!$C:$C,Teams!$E:$E,,0,1)</f>
        <v>#VALUE!</v>
      </c>
      <c r="Q46" s="275"/>
      <c r="R46" s="6" t="b">
        <f t="shared" ca="1" si="6"/>
        <v>1</v>
      </c>
      <c r="S46" s="98"/>
    </row>
    <row r="47" spans="1:19" ht="24" customHeight="1" x14ac:dyDescent="0.25">
      <c r="A47" s="152" t="str">
        <f t="shared" ca="1" si="12"/>
        <v>Cal State Fullerton</v>
      </c>
      <c r="B47" s="152" t="str">
        <f t="shared" ca="1" si="13"/>
        <v>Cal State Northridge</v>
      </c>
      <c r="C47" s="152" t="str">
        <f t="shared" ca="1" si="8"/>
        <v>Cal State Northridge</v>
      </c>
      <c r="D47" s="152" t="e">
        <f t="shared" si="9"/>
        <v>#REF!</v>
      </c>
      <c r="E47" s="99">
        <v>42</v>
      </c>
      <c r="F47" s="100" cm="1">
        <f t="array" aca="1" ref="F47" ca="1">_xlfn.XLOOKUP(G47,Teams[[#All],[Team]],Teams[[#All],[Seed]],0,0,1)</f>
        <v>12</v>
      </c>
      <c r="G47" s="101" t="str">
        <f ca="1">O23</f>
        <v>Cal State Fullerton</v>
      </c>
      <c r="H47" s="176" t="s">
        <v>9</v>
      </c>
      <c r="I47" s="102" t="str">
        <f ca="1">O24</f>
        <v>Cal State Northridge</v>
      </c>
      <c r="J47" s="103" cm="1">
        <f t="array" aca="1" ref="J47" ca="1">_xlfn.XLOOKUP(I47,Teams[[#All],[Team]],Teams[[#All],[Seed]],0,0,1)</f>
        <v>4</v>
      </c>
      <c r="K47" s="82" t="e" vm="102">
        <f ca="1">_xlfn.XLOOKUP(G47,Teams!$C:$C,Teams!$E:$E,,0,1)</f>
        <v>#VALUE!</v>
      </c>
      <c r="L47" s="82">
        <f t="shared" ca="1" si="10"/>
        <v>106</v>
      </c>
      <c r="M47" s="82" t="e" vm="103">
        <f ca="1">_xlfn.XLOOKUP(I47,Teams!$C:$C,Teams!$E:$E,,0,1)</f>
        <v>#VALUE!</v>
      </c>
      <c r="N47" s="82">
        <f t="shared" ca="1" si="10"/>
        <v>101</v>
      </c>
      <c r="O47" s="190" t="str">
        <f t="shared" ca="1" si="11"/>
        <v>Cal State Fullerton</v>
      </c>
      <c r="P47" s="264" t="e" vm="102">
        <f ca="1">_xlfn.XLOOKUP(O47,Teams!$C:$C,Teams!$E:$E,,0,1)</f>
        <v>#VALUE!</v>
      </c>
      <c r="Q47" s="275"/>
      <c r="R47" s="6" t="b">
        <f t="shared" ca="1" si="6"/>
        <v>1</v>
      </c>
      <c r="S47" s="98"/>
    </row>
    <row r="48" spans="1:19" ht="24" customHeight="1" x14ac:dyDescent="0.25">
      <c r="A48" s="152" t="str">
        <f t="shared" ca="1" si="12"/>
        <v>Campbell</v>
      </c>
      <c r="B48" s="152" t="str">
        <f t="shared" ca="1" si="13"/>
        <v>Central Arkansas</v>
      </c>
      <c r="C48" s="152" t="str">
        <f t="shared" ca="1" si="8"/>
        <v>Campbell</v>
      </c>
      <c r="D48" s="152" t="e">
        <f t="shared" si="9"/>
        <v>#REF!</v>
      </c>
      <c r="E48" s="99">
        <v>43</v>
      </c>
      <c r="F48" s="100" cm="1">
        <f t="array" aca="1" ref="F48" ca="1">_xlfn.XLOOKUP(G48,Teams[[#All],[Team]],Teams[[#All],[Seed]],0,0,1)</f>
        <v>11</v>
      </c>
      <c r="G48" s="101" t="str">
        <f ca="1">O25</f>
        <v>Campbell</v>
      </c>
      <c r="H48" s="176" t="s">
        <v>9</v>
      </c>
      <c r="I48" s="102" t="str">
        <f ca="1">O26</f>
        <v>Central Arkansas</v>
      </c>
      <c r="J48" s="103" cm="1">
        <f t="array" aca="1" ref="J48" ca="1">_xlfn.XLOOKUP(I48,Teams[[#All],[Team]],Teams[[#All],[Seed]],0,0,1)</f>
        <v>14</v>
      </c>
      <c r="K48" s="82" t="e" vm="106">
        <f ca="1">_xlfn.XLOOKUP(G48,Teams!$C:$C,Teams!$E:$E,,0,1)</f>
        <v>#VALUE!</v>
      </c>
      <c r="L48" s="82">
        <f t="shared" ca="1" si="10"/>
        <v>91</v>
      </c>
      <c r="M48" s="82" t="e" vm="108">
        <f ca="1">_xlfn.XLOOKUP(I48,Teams!$C:$C,Teams!$E:$E,,0,1)</f>
        <v>#VALUE!</v>
      </c>
      <c r="N48" s="82">
        <f t="shared" ca="1" si="10"/>
        <v>112</v>
      </c>
      <c r="O48" s="190" t="str">
        <f t="shared" ca="1" si="11"/>
        <v>Central Arkansas</v>
      </c>
      <c r="P48" s="264" t="e" vm="108">
        <f ca="1">_xlfn.XLOOKUP(O48,Teams!$C:$C,Teams!$E:$E,,0,1)</f>
        <v>#VALUE!</v>
      </c>
      <c r="Q48" s="275"/>
      <c r="R48" s="6" t="b">
        <f t="shared" ca="1" si="6"/>
        <v>1</v>
      </c>
      <c r="S48" s="98"/>
    </row>
    <row r="49" spans="1:19" ht="24" customHeight="1" thickBot="1" x14ac:dyDescent="0.3">
      <c r="A49" s="152" t="str">
        <f t="shared" ca="1" si="12"/>
        <v>Central Michigan</v>
      </c>
      <c r="B49" s="152" t="str">
        <f t="shared" ca="1" si="13"/>
        <v>Charlotte</v>
      </c>
      <c r="C49" s="152" t="str">
        <f t="shared" ca="1" si="8"/>
        <v>Charlotte</v>
      </c>
      <c r="D49" s="152" t="e">
        <f t="shared" si="9"/>
        <v>#REF!</v>
      </c>
      <c r="E49" s="134">
        <v>44</v>
      </c>
      <c r="F49" s="135" cm="1">
        <f t="array" aca="1" ref="F49" ca="1">_xlfn.XLOOKUP(G49,Teams[[#All],[Team]],Teams[[#All],[Seed]],0,0,1)</f>
        <v>10</v>
      </c>
      <c r="G49" s="136" t="str">
        <f ca="1">O27</f>
        <v>Central Michigan</v>
      </c>
      <c r="H49" s="183" t="s">
        <v>9</v>
      </c>
      <c r="I49" s="137" t="str">
        <f ca="1">O28</f>
        <v>Charlotte</v>
      </c>
      <c r="J49" s="138" cm="1">
        <f t="array" aca="1" ref="J49" ca="1">_xlfn.XLOOKUP(I49,Teams[[#All],[Team]],Teams[[#All],[Seed]],0,0,1)</f>
        <v>15</v>
      </c>
      <c r="K49" s="139" t="e" vm="110">
        <f ca="1">_xlfn.XLOOKUP(G49,Teams!$C:$C,Teams!$E:$E,,0,1)</f>
        <v>#VALUE!</v>
      </c>
      <c r="L49" s="139">
        <f t="shared" ca="1" si="10"/>
        <v>92</v>
      </c>
      <c r="M49" s="139" t="e" vm="112">
        <f ca="1">_xlfn.XLOOKUP(I49,Teams!$C:$C,Teams!$E:$E,,0,1)</f>
        <v>#VALUE!</v>
      </c>
      <c r="N49" s="139">
        <f t="shared" ca="1" si="10"/>
        <v>91</v>
      </c>
      <c r="O49" s="196" t="str">
        <f t="shared" ca="1" si="11"/>
        <v>Central Michigan</v>
      </c>
      <c r="P49" s="270" t="e" vm="110">
        <f ca="1">_xlfn.XLOOKUP(O49,Teams!$C:$C,Teams!$E:$E,,0,1)</f>
        <v>#VALUE!</v>
      </c>
      <c r="Q49" s="275"/>
      <c r="R49" s="6" t="b">
        <f t="shared" ca="1" si="6"/>
        <v>0</v>
      </c>
      <c r="S49" s="98"/>
    </row>
    <row r="50" spans="1:19" ht="24" customHeight="1" x14ac:dyDescent="0.25">
      <c r="A50" s="91" t="str">
        <f t="shared" ca="1" si="12"/>
        <v>Chattanooga</v>
      </c>
      <c r="B50" s="91" t="str">
        <f t="shared" ca="1" si="13"/>
        <v>Clemson</v>
      </c>
      <c r="C50" s="91" t="str">
        <f t="shared" ca="1" si="8"/>
        <v>Clemson</v>
      </c>
      <c r="D50" s="91" t="e">
        <f t="shared" si="9"/>
        <v>#REF!</v>
      </c>
      <c r="E50" s="140">
        <v>45</v>
      </c>
      <c r="F50" s="141" cm="1">
        <f t="array" aca="1" ref="F50" ca="1">_xlfn.XLOOKUP(G50,Teams[[#All],[Team]],Teams[[#All],[Seed]],0,0,1)</f>
        <v>1</v>
      </c>
      <c r="G50" s="142" t="str">
        <f ca="1">O29</f>
        <v>Chattanooga</v>
      </c>
      <c r="H50" s="184" t="s">
        <v>9</v>
      </c>
      <c r="I50" s="143" t="str">
        <f ca="1">O30</f>
        <v>Clemson</v>
      </c>
      <c r="J50" s="144" cm="1">
        <f t="array" aca="1" ref="J50" ca="1">_xlfn.XLOOKUP(I50,Teams[[#All],[Team]],Teams[[#All],[Seed]],0,0,1)</f>
        <v>9</v>
      </c>
      <c r="K50" s="145" t="e" vm="113">
        <f ca="1">_xlfn.XLOOKUP(G50,Teams!$C:$C,Teams!$E:$E,,0,1)</f>
        <v>#VALUE!</v>
      </c>
      <c r="L50" s="145">
        <f t="shared" ca="1" si="10"/>
        <v>116</v>
      </c>
      <c r="M50" s="145" t="e" vm="116">
        <f ca="1">_xlfn.XLOOKUP(I50,Teams!$C:$C,Teams!$E:$E,,0,1)</f>
        <v>#VALUE!</v>
      </c>
      <c r="N50" s="145">
        <f t="shared" ca="1" si="10"/>
        <v>91</v>
      </c>
      <c r="O50" s="197" t="str">
        <f t="shared" ca="1" si="11"/>
        <v>Chattanooga</v>
      </c>
      <c r="P50" s="271" t="e" vm="113">
        <f ca="1">_xlfn.XLOOKUP(O50,Teams!$C:$C,Teams!$E:$E,,0,1)</f>
        <v>#VALUE!</v>
      </c>
      <c r="Q50" s="276"/>
      <c r="R50" s="6" t="b">
        <f t="shared" ca="1" si="6"/>
        <v>0</v>
      </c>
      <c r="S50" s="98"/>
    </row>
    <row r="51" spans="1:19" ht="24" customHeight="1" x14ac:dyDescent="0.25">
      <c r="A51" s="91" t="str">
        <f t="shared" ca="1" si="12"/>
        <v>Cleveland State</v>
      </c>
      <c r="B51" s="91" t="str">
        <f t="shared" ca="1" si="13"/>
        <v>College of Charleston</v>
      </c>
      <c r="C51" s="91" t="str">
        <f t="shared" ca="1" si="8"/>
        <v>College of Charleston</v>
      </c>
      <c r="D51" s="91" t="e">
        <f t="shared" si="9"/>
        <v>#REF!</v>
      </c>
      <c r="E51" s="116">
        <v>46</v>
      </c>
      <c r="F51" s="117" cm="1">
        <f t="array" aca="1" ref="F51" ca="1">_xlfn.XLOOKUP(G51,Teams[[#All],[Team]],Teams[[#All],[Seed]],0,0,1)</f>
        <v>5</v>
      </c>
      <c r="G51" s="118" t="str">
        <f ca="1">O31</f>
        <v>Cleveland State</v>
      </c>
      <c r="H51" s="179" t="s">
        <v>9</v>
      </c>
      <c r="I51" s="119" t="str">
        <f ca="1">O32</f>
        <v>College of Charleston</v>
      </c>
      <c r="J51" s="120" cm="1">
        <f t="array" aca="1" ref="J51" ca="1">_xlfn.XLOOKUP(I51,Teams[[#All],[Team]],Teams[[#All],[Seed]],0,0,1)</f>
        <v>13</v>
      </c>
      <c r="K51" s="83" t="e" vm="117">
        <f ca="1">_xlfn.XLOOKUP(G51,Teams!$C:$C,Teams!$E:$E,,0,1)</f>
        <v>#VALUE!</v>
      </c>
      <c r="L51" s="83">
        <f t="shared" ca="1" si="10"/>
        <v>116</v>
      </c>
      <c r="M51" s="83" t="e" vm="120">
        <f ca="1">_xlfn.XLOOKUP(I51,Teams!$C:$C,Teams!$E:$E,,0,1)</f>
        <v>#VALUE!</v>
      </c>
      <c r="N51" s="83">
        <f t="shared" ca="1" si="10"/>
        <v>112</v>
      </c>
      <c r="O51" s="193" t="str">
        <f t="shared" ca="1" si="11"/>
        <v>Cleveland State</v>
      </c>
      <c r="P51" s="267" t="e" vm="117">
        <f ca="1">_xlfn.XLOOKUP(O51,Teams!$C:$C,Teams!$E:$E,,0,1)</f>
        <v>#VALUE!</v>
      </c>
      <c r="Q51" s="276"/>
      <c r="R51" s="6" t="b">
        <f t="shared" ca="1" si="6"/>
        <v>0</v>
      </c>
      <c r="S51" s="98"/>
    </row>
    <row r="52" spans="1:19" ht="24" customHeight="1" x14ac:dyDescent="0.25">
      <c r="A52" s="91" t="str">
        <f t="shared" ca="1" si="12"/>
        <v>Colorado</v>
      </c>
      <c r="B52" s="91" t="str">
        <f t="shared" ca="1" si="13"/>
        <v>Connecticut</v>
      </c>
      <c r="C52" s="91" t="str">
        <f t="shared" ca="1" si="8"/>
        <v>Colorado</v>
      </c>
      <c r="D52" s="91" t="e">
        <f t="shared" si="9"/>
        <v>#REF!</v>
      </c>
      <c r="E52" s="116">
        <v>47</v>
      </c>
      <c r="F52" s="117" cm="1">
        <f t="array" aca="1" ref="F52" ca="1">_xlfn.XLOOKUP(G52,Teams[[#All],[Team]],Teams[[#All],[Seed]],0,0,1)</f>
        <v>6</v>
      </c>
      <c r="G52" s="118" t="str">
        <f ca="1">O33</f>
        <v>Colorado</v>
      </c>
      <c r="H52" s="179" t="s">
        <v>9</v>
      </c>
      <c r="I52" s="119" t="str">
        <f ca="1">O34</f>
        <v>Connecticut</v>
      </c>
      <c r="J52" s="120" cm="1">
        <f t="array" aca="1" ref="J52" ca="1">_xlfn.XLOOKUP(I52,Teams[[#All],[Team]],Teams[[#All],[Seed]],0,0,1)</f>
        <v>14</v>
      </c>
      <c r="K52" s="83" t="e" vm="121">
        <f ca="1">_xlfn.XLOOKUP(G52,Teams!$C:$C,Teams!$E:$E,,0,1)</f>
        <v>#VALUE!</v>
      </c>
      <c r="L52" s="83">
        <f t="shared" ca="1" si="10"/>
        <v>93</v>
      </c>
      <c r="M52" s="83" t="e" vm="124">
        <f ca="1">_xlfn.XLOOKUP(I52,Teams!$C:$C,Teams!$E:$E,,0,1)</f>
        <v>#VALUE!</v>
      </c>
      <c r="N52" s="83">
        <f t="shared" ca="1" si="10"/>
        <v>120</v>
      </c>
      <c r="O52" s="193" t="str">
        <f t="shared" ca="1" si="11"/>
        <v>Connecticut</v>
      </c>
      <c r="P52" s="267" t="e" vm="124">
        <f ca="1">_xlfn.XLOOKUP(O52,Teams!$C:$C,Teams!$E:$E,,0,1)</f>
        <v>#VALUE!</v>
      </c>
      <c r="Q52" s="276"/>
      <c r="R52" s="6" t="b">
        <f t="shared" ca="1" si="6"/>
        <v>1</v>
      </c>
      <c r="S52" s="98"/>
    </row>
    <row r="53" spans="1:19" ht="24" customHeight="1" thickBot="1" x14ac:dyDescent="0.3">
      <c r="A53" s="91" t="str">
        <f t="shared" ca="1" si="12"/>
        <v>Coppin State</v>
      </c>
      <c r="B53" s="91" t="str">
        <f t="shared" ca="1" si="13"/>
        <v>Dartmouth</v>
      </c>
      <c r="C53" s="91" t="str">
        <f t="shared" ca="1" si="8"/>
        <v>Coppin State</v>
      </c>
      <c r="D53" s="91" t="e">
        <f t="shared" si="9"/>
        <v>#REF!</v>
      </c>
      <c r="E53" s="146">
        <v>48</v>
      </c>
      <c r="F53" s="147" cm="1">
        <f t="array" aca="1" ref="F53" ca="1">_xlfn.XLOOKUP(G53,Teams[[#All],[Team]],Teams[[#All],[Seed]],0,0,1)</f>
        <v>7</v>
      </c>
      <c r="G53" s="148" t="str">
        <f ca="1">O35</f>
        <v>Coppin State</v>
      </c>
      <c r="H53" s="185" t="s">
        <v>9</v>
      </c>
      <c r="I53" s="149" t="str">
        <f ca="1">O36</f>
        <v>Dartmouth</v>
      </c>
      <c r="J53" s="150" cm="1">
        <f t="array" aca="1" ref="J53" ca="1">_xlfn.XLOOKUP(I53,Teams[[#All],[Team]],Teams[[#All],[Seed]],0,0,1)</f>
        <v>15</v>
      </c>
      <c r="K53" s="151" t="e" vm="125">
        <f ca="1">_xlfn.XLOOKUP(G53,Teams!$C:$C,Teams!$E:$E,,0,1)</f>
        <v>#VALUE!</v>
      </c>
      <c r="L53" s="151">
        <f t="shared" ca="1" si="10"/>
        <v>95</v>
      </c>
      <c r="M53" s="151" t="e" vm="128">
        <f ca="1">_xlfn.XLOOKUP(I53,Teams!$C:$C,Teams!$E:$E,,0,1)</f>
        <v>#VALUE!</v>
      </c>
      <c r="N53" s="151">
        <f t="shared" ca="1" si="10"/>
        <v>109</v>
      </c>
      <c r="O53" s="198" t="str">
        <f t="shared" ca="1" si="11"/>
        <v>Dartmouth</v>
      </c>
      <c r="P53" s="272" t="e" vm="128">
        <f ca="1">_xlfn.XLOOKUP(O53,Teams!$C:$C,Teams!$E:$E,,0,1)</f>
        <v>#VALUE!</v>
      </c>
      <c r="Q53" s="276"/>
      <c r="R53" s="6" t="b">
        <f t="shared" ca="1" si="6"/>
        <v>1</v>
      </c>
      <c r="S53" s="98"/>
    </row>
    <row r="54" spans="1:19" ht="24" customHeight="1" thickBot="1" x14ac:dyDescent="0.3">
      <c r="E54" s="67" t="s">
        <v>10</v>
      </c>
      <c r="F54" s="256" t="str">
        <f>Bracket!I2</f>
        <v>Sweet 16</v>
      </c>
      <c r="G54" s="256"/>
      <c r="H54" s="256"/>
      <c r="I54" s="256"/>
      <c r="J54" s="256"/>
      <c r="K54" s="68"/>
      <c r="L54" s="68"/>
      <c r="M54" s="68"/>
      <c r="N54" s="68"/>
      <c r="O54" s="68" t="s">
        <v>8</v>
      </c>
      <c r="P54" s="68"/>
      <c r="Q54" s="274"/>
      <c r="S54" s="98"/>
    </row>
    <row r="55" spans="1:19" ht="24" customHeight="1" x14ac:dyDescent="0.25">
      <c r="A55" s="91" t="str">
        <f ca="1">G55</f>
        <v>Alabama</v>
      </c>
      <c r="B55" s="91" t="str">
        <f ca="1">I55</f>
        <v>Alcorn State</v>
      </c>
      <c r="C55" s="91" t="str">
        <f t="shared" ref="C55:C62" ca="1" si="14">IF(O55="","",IF(A55=O55,B55,A55))</f>
        <v>Alabama</v>
      </c>
      <c r="D55" s="91" t="e">
        <f t="shared" ref="D55:D62" si="15">IF(SeedType=1,0,IF(SeedType=2,VLOOKUP(O55,SeedInfo,2,FALSE)*3,MAX(VLOOKUP(O55,SeedInfo,2,FALSE)-VLOOKUP(C55,SeedInfo,2,FALSE),0)))</f>
        <v>#REF!</v>
      </c>
      <c r="E55" s="92">
        <v>49</v>
      </c>
      <c r="F55" s="93" cm="1">
        <f t="array" aca="1" ref="F55" ca="1">_xlfn.XLOOKUP(G55,Teams[[#All],[Team]],Teams[[#All],[Seed]],0,0,1)</f>
        <v>9</v>
      </c>
      <c r="G55" s="94" t="str">
        <f ca="1">O38</f>
        <v>Alabama</v>
      </c>
      <c r="H55" s="175" t="s">
        <v>9</v>
      </c>
      <c r="I55" s="95" t="str">
        <f ca="1">O39</f>
        <v>Alcorn State</v>
      </c>
      <c r="J55" s="96" cm="1">
        <f t="array" aca="1" ref="J55" ca="1">_xlfn.XLOOKUP(I55,Teams[[#All],[Team]],Teams[[#All],[Seed]],0,0,1)</f>
        <v>13</v>
      </c>
      <c r="K55" s="97" t="e" vm="68">
        <f ca="1">_xlfn.XLOOKUP(G55,Teams!$C:$C,Teams!$E:$E,,0,1)</f>
        <v>#VALUE!</v>
      </c>
      <c r="L55" s="97">
        <f t="shared" ca="1" si="10"/>
        <v>99</v>
      </c>
      <c r="M55" s="97" t="e" vm="72">
        <f ca="1">_xlfn.XLOOKUP(I55,Teams!$C:$C,Teams!$E:$E,,0,1)</f>
        <v>#VALUE!</v>
      </c>
      <c r="N55" s="97">
        <f t="shared" ca="1" si="10"/>
        <v>113</v>
      </c>
      <c r="O55" s="189" t="str">
        <f t="shared" ref="O55:O62" ca="1" si="16">IF(L55&gt;N55,G55,I55)</f>
        <v>Alcorn State</v>
      </c>
      <c r="P55" s="264" t="e" vm="72">
        <f ca="1">_xlfn.XLOOKUP(O55,Teams!$C:$C,Teams!$E:$E,,0,1)</f>
        <v>#VALUE!</v>
      </c>
      <c r="Q55" s="275"/>
      <c r="R55" s="6" t="b">
        <f t="shared" ca="1" si="6"/>
        <v>1</v>
      </c>
      <c r="S55" s="98"/>
    </row>
    <row r="56" spans="1:19" ht="24" customHeight="1" thickBot="1" x14ac:dyDescent="0.3">
      <c r="A56" s="91" t="str">
        <f t="shared" ref="A56:A62" ca="1" si="17">G56</f>
        <v>American</v>
      </c>
      <c r="B56" s="91" t="str">
        <f t="shared" ref="B56:B62" ca="1" si="18">I56</f>
        <v>Arkansas State</v>
      </c>
      <c r="C56" s="91" t="str">
        <f t="shared" ca="1" si="14"/>
        <v>Arkansas State</v>
      </c>
      <c r="D56" s="91" t="e">
        <f t="shared" si="15"/>
        <v>#REF!</v>
      </c>
      <c r="E56" s="134">
        <v>50</v>
      </c>
      <c r="F56" s="135" cm="1">
        <f t="array" aca="1" ref="F56" ca="1">_xlfn.XLOOKUP(G56,Teams[[#All],[Team]],Teams[[#All],[Seed]],0,0,1)</f>
        <v>6</v>
      </c>
      <c r="G56" s="136" t="str">
        <f ca="1">O40</f>
        <v>American</v>
      </c>
      <c r="H56" s="183" t="s">
        <v>9</v>
      </c>
      <c r="I56" s="137" t="str">
        <f ca="1">O41</f>
        <v>Arkansas State</v>
      </c>
      <c r="J56" s="138" cm="1">
        <f t="array" aca="1" ref="J56" ca="1">_xlfn.XLOOKUP(I56,Teams[[#All],[Team]],Teams[[#All],[Seed]],0,0,1)</f>
        <v>10</v>
      </c>
      <c r="K56" s="139" t="e" vm="73">
        <f ca="1">_xlfn.XLOOKUP(G56,Teams!$C:$C,Teams!$E:$E,,0,1)</f>
        <v>#VALUE!</v>
      </c>
      <c r="L56" s="139">
        <f t="shared" ca="1" si="10"/>
        <v>104</v>
      </c>
      <c r="M56" s="139" t="e" vm="78">
        <f ca="1">_xlfn.XLOOKUP(I56,Teams!$C:$C,Teams!$E:$E,,0,1)</f>
        <v>#VALUE!</v>
      </c>
      <c r="N56" s="139">
        <f t="shared" ca="1" si="10"/>
        <v>96</v>
      </c>
      <c r="O56" s="196" t="str">
        <f t="shared" ca="1" si="16"/>
        <v>American</v>
      </c>
      <c r="P56" s="270" t="e" vm="73">
        <f ca="1">_xlfn.XLOOKUP(O56,Teams!$C:$C,Teams!$E:$E,,0,1)</f>
        <v>#VALUE!</v>
      </c>
      <c r="Q56" s="275"/>
      <c r="R56" s="6" t="b">
        <f t="shared" ca="1" si="6"/>
        <v>0</v>
      </c>
      <c r="S56" s="98"/>
    </row>
    <row r="57" spans="1:19" ht="24" customHeight="1" x14ac:dyDescent="0.25">
      <c r="A57" s="91" t="str">
        <f t="shared" ca="1" si="17"/>
        <v>Auburn</v>
      </c>
      <c r="B57" s="91" t="str">
        <f t="shared" ca="1" si="18"/>
        <v>Binghamton</v>
      </c>
      <c r="C57" s="91" t="str">
        <f t="shared" ca="1" si="14"/>
        <v>Binghamton</v>
      </c>
      <c r="D57" s="91" t="e">
        <f t="shared" si="15"/>
        <v>#REF!</v>
      </c>
      <c r="E57" s="140">
        <v>51</v>
      </c>
      <c r="F57" s="142" cm="1">
        <f t="array" aca="1" ref="F57" ca="1">_xlfn.XLOOKUP(G57,Teams[[#All],[Team]],Teams[[#All],[Seed]],0,0,1)</f>
        <v>1</v>
      </c>
      <c r="G57" s="142" t="str">
        <f ca="1">O42</f>
        <v>Auburn</v>
      </c>
      <c r="H57" s="184" t="s">
        <v>9</v>
      </c>
      <c r="I57" s="143" t="str">
        <f ca="1">O43</f>
        <v>Binghamton</v>
      </c>
      <c r="J57" s="144" cm="1">
        <f t="array" aca="1" ref="J57" ca="1">_xlfn.XLOOKUP(I57,Teams[[#All],[Team]],Teams[[#All],[Seed]],0,0,1)</f>
        <v>13</v>
      </c>
      <c r="K57" s="145" t="e" vm="81">
        <f ca="1">_xlfn.XLOOKUP(G57,Teams!$C:$C,Teams!$E:$E,,0,1)</f>
        <v>#VALUE!</v>
      </c>
      <c r="L57" s="145">
        <f t="shared" ca="1" si="10"/>
        <v>120</v>
      </c>
      <c r="M57" s="145" t="e" vm="88">
        <f ca="1">_xlfn.XLOOKUP(I57,Teams!$C:$C,Teams!$E:$E,,0,1)</f>
        <v>#VALUE!</v>
      </c>
      <c r="N57" s="145">
        <f t="shared" ca="1" si="10"/>
        <v>111</v>
      </c>
      <c r="O57" s="197" t="str">
        <f t="shared" ca="1" si="16"/>
        <v>Auburn</v>
      </c>
      <c r="P57" s="271" t="e" vm="81">
        <f ca="1">_xlfn.XLOOKUP(O57,Teams!$C:$C,Teams!$E:$E,,0,1)</f>
        <v>#VALUE!</v>
      </c>
      <c r="Q57" s="276"/>
      <c r="R57" s="6" t="b">
        <f t="shared" ca="1" si="6"/>
        <v>0</v>
      </c>
      <c r="S57" s="98"/>
    </row>
    <row r="58" spans="1:19" ht="24" customHeight="1" thickBot="1" x14ac:dyDescent="0.3">
      <c r="A58" s="91" t="str">
        <f t="shared" ca="1" si="17"/>
        <v>Boston College</v>
      </c>
      <c r="B58" s="91" t="str">
        <f t="shared" ca="1" si="18"/>
        <v>Brown</v>
      </c>
      <c r="C58" s="91" t="str">
        <f t="shared" ca="1" si="14"/>
        <v>Boston College</v>
      </c>
      <c r="D58" s="91" t="e">
        <f t="shared" si="15"/>
        <v>#REF!</v>
      </c>
      <c r="E58" s="146">
        <v>52</v>
      </c>
      <c r="F58" s="148" cm="1">
        <f t="array" aca="1" ref="F58" ca="1">_xlfn.XLOOKUP(G58,Teams[[#All],[Team]],Teams[[#All],[Seed]],0,0,1)</f>
        <v>11</v>
      </c>
      <c r="G58" s="148" t="str">
        <f ca="1">O44</f>
        <v>Boston College</v>
      </c>
      <c r="H58" s="185" t="s">
        <v>9</v>
      </c>
      <c r="I58" s="149" t="str">
        <f ca="1">O45</f>
        <v>Brown</v>
      </c>
      <c r="J58" s="150" cm="1">
        <f t="array" aca="1" ref="J58" ca="1">_xlfn.XLOOKUP(I58,Teams[[#All],[Team]],Teams[[#All],[Seed]],0,0,1)</f>
        <v>2</v>
      </c>
      <c r="K58" s="151" t="e" vm="90">
        <f ca="1">_xlfn.XLOOKUP(G58,Teams!$C:$C,Teams!$E:$E,,0,1)</f>
        <v>#VALUE!</v>
      </c>
      <c r="L58" s="151">
        <f t="shared" ca="1" si="10"/>
        <v>110</v>
      </c>
      <c r="M58" s="151" t="e" vm="95">
        <f ca="1">_xlfn.XLOOKUP(I58,Teams!$C:$C,Teams!$E:$E,,0,1)</f>
        <v>#VALUE!</v>
      </c>
      <c r="N58" s="151">
        <f t="shared" ca="1" si="10"/>
        <v>113</v>
      </c>
      <c r="O58" s="198" t="str">
        <f t="shared" ca="1" si="16"/>
        <v>Brown</v>
      </c>
      <c r="P58" s="272" t="e" vm="95">
        <f ca="1">_xlfn.XLOOKUP(O58,Teams!$C:$C,Teams!$E:$E,,0,1)</f>
        <v>#VALUE!</v>
      </c>
      <c r="Q58" s="276"/>
      <c r="R58" s="6" t="b">
        <f t="shared" ca="1" si="6"/>
        <v>0</v>
      </c>
      <c r="S58" s="98"/>
    </row>
    <row r="59" spans="1:19" ht="24" customHeight="1" x14ac:dyDescent="0.25">
      <c r="A59" s="152" t="str">
        <f t="shared" ca="1" si="17"/>
        <v>Cal Poly</v>
      </c>
      <c r="B59" s="152" t="str">
        <f t="shared" ca="1" si="18"/>
        <v>Cal State Fullerton</v>
      </c>
      <c r="C59" s="152" t="str">
        <f t="shared" ca="1" si="14"/>
        <v>Cal State Fullerton</v>
      </c>
      <c r="D59" s="152" t="e">
        <f t="shared" si="15"/>
        <v>#REF!</v>
      </c>
      <c r="E59" s="129">
        <v>53</v>
      </c>
      <c r="F59" s="130" cm="1">
        <f t="array" aca="1" ref="F59" ca="1">_xlfn.XLOOKUP(G59,Teams[[#All],[Team]],Teams[[#All],[Seed]],0,0,1)</f>
        <v>9</v>
      </c>
      <c r="G59" s="131" t="str">
        <f ca="1">O46</f>
        <v>Cal Poly</v>
      </c>
      <c r="H59" s="182" t="s">
        <v>9</v>
      </c>
      <c r="I59" s="132" t="str">
        <f ca="1">O47</f>
        <v>Cal State Fullerton</v>
      </c>
      <c r="J59" s="133" cm="1">
        <f t="array" aca="1" ref="J59" ca="1">_xlfn.XLOOKUP(I59,Teams[[#All],[Team]],Teams[[#All],[Seed]],0,0,1)</f>
        <v>12</v>
      </c>
      <c r="K59" s="84" t="e" vm="100">
        <f ca="1">_xlfn.XLOOKUP(G59,Teams!$C:$C,Teams!$E:$E,,0,1)</f>
        <v>#VALUE!</v>
      </c>
      <c r="L59" s="84">
        <f t="shared" ca="1" si="10"/>
        <v>115</v>
      </c>
      <c r="M59" s="84" t="e" vm="102">
        <f ca="1">_xlfn.XLOOKUP(I59,Teams!$C:$C,Teams!$E:$E,,0,1)</f>
        <v>#VALUE!</v>
      </c>
      <c r="N59" s="84">
        <f t="shared" ca="1" si="10"/>
        <v>111</v>
      </c>
      <c r="O59" s="195" t="str">
        <f t="shared" ca="1" si="16"/>
        <v>Cal Poly</v>
      </c>
      <c r="P59" s="269" t="e" vm="100">
        <f ca="1">_xlfn.XLOOKUP(O59,Teams!$C:$C,Teams!$E:$E,,0,1)</f>
        <v>#VALUE!</v>
      </c>
      <c r="Q59" s="275"/>
      <c r="R59" s="6" t="b">
        <f t="shared" ca="1" si="6"/>
        <v>0</v>
      </c>
      <c r="S59" s="98"/>
    </row>
    <row r="60" spans="1:19" ht="24" customHeight="1" thickBot="1" x14ac:dyDescent="0.3">
      <c r="A60" s="152" t="str">
        <f t="shared" ca="1" si="17"/>
        <v>Central Arkansas</v>
      </c>
      <c r="B60" s="152" t="str">
        <f t="shared" ca="1" si="18"/>
        <v>Central Michigan</v>
      </c>
      <c r="C60" s="152" t="str">
        <f t="shared" ca="1" si="14"/>
        <v>Central Arkansas</v>
      </c>
      <c r="D60" s="152" t="e">
        <f t="shared" si="15"/>
        <v>#REF!</v>
      </c>
      <c r="E60" s="134">
        <v>54</v>
      </c>
      <c r="F60" s="135" cm="1">
        <f t="array" aca="1" ref="F60" ca="1">_xlfn.XLOOKUP(G60,Teams[[#All],[Team]],Teams[[#All],[Seed]],0,0,1)</f>
        <v>14</v>
      </c>
      <c r="G60" s="136" t="str">
        <f ca="1">O48</f>
        <v>Central Arkansas</v>
      </c>
      <c r="H60" s="183" t="s">
        <v>9</v>
      </c>
      <c r="I60" s="137" t="str">
        <f ca="1">O49</f>
        <v>Central Michigan</v>
      </c>
      <c r="J60" s="138" cm="1">
        <f t="array" aca="1" ref="J60" ca="1">_xlfn.XLOOKUP(I60,Teams[[#All],[Team]],Teams[[#All],[Seed]],0,0,1)</f>
        <v>10</v>
      </c>
      <c r="K60" s="139" t="e" vm="108">
        <f ca="1">_xlfn.XLOOKUP(G60,Teams!$C:$C,Teams!$E:$E,,0,1)</f>
        <v>#VALUE!</v>
      </c>
      <c r="L60" s="139">
        <f t="shared" ca="1" si="10"/>
        <v>91</v>
      </c>
      <c r="M60" s="139" t="e" vm="110">
        <f ca="1">_xlfn.XLOOKUP(I60,Teams!$C:$C,Teams!$E:$E,,0,1)</f>
        <v>#VALUE!</v>
      </c>
      <c r="N60" s="139">
        <f t="shared" ca="1" si="10"/>
        <v>115</v>
      </c>
      <c r="O60" s="196" t="str">
        <f t="shared" ca="1" si="16"/>
        <v>Central Michigan</v>
      </c>
      <c r="P60" s="270" t="e" vm="110">
        <f ca="1">_xlfn.XLOOKUP(O60,Teams!$C:$C,Teams!$E:$E,,0,1)</f>
        <v>#VALUE!</v>
      </c>
      <c r="Q60" s="275"/>
      <c r="R60" s="6" t="b">
        <f t="shared" ca="1" si="6"/>
        <v>0</v>
      </c>
      <c r="S60" s="98"/>
    </row>
    <row r="61" spans="1:19" ht="24" customHeight="1" x14ac:dyDescent="0.25">
      <c r="A61" s="91" t="str">
        <f t="shared" ca="1" si="17"/>
        <v>Chattanooga</v>
      </c>
      <c r="B61" s="91" t="str">
        <f t="shared" ca="1" si="18"/>
        <v>Cleveland State</v>
      </c>
      <c r="C61" s="91" t="str">
        <f t="shared" ca="1" si="14"/>
        <v>Chattanooga</v>
      </c>
      <c r="D61" s="91" t="e">
        <f t="shared" si="15"/>
        <v>#REF!</v>
      </c>
      <c r="E61" s="140">
        <v>55</v>
      </c>
      <c r="F61" s="141" cm="1">
        <f t="array" aca="1" ref="F61" ca="1">_xlfn.XLOOKUP(G61,Teams[[#All],[Team]],Teams[[#All],[Seed]],0,0,1)</f>
        <v>1</v>
      </c>
      <c r="G61" s="142" t="str">
        <f ca="1">O50</f>
        <v>Chattanooga</v>
      </c>
      <c r="H61" s="184" t="s">
        <v>9</v>
      </c>
      <c r="I61" s="143" t="str">
        <f ca="1">O51</f>
        <v>Cleveland State</v>
      </c>
      <c r="J61" s="144" cm="1">
        <f t="array" aca="1" ref="J61" ca="1">_xlfn.XLOOKUP(I61,Teams[[#All],[Team]],Teams[[#All],[Seed]],0,0,1)</f>
        <v>5</v>
      </c>
      <c r="K61" s="145" t="e" vm="113">
        <f ca="1">_xlfn.XLOOKUP(G61,Teams!$C:$C,Teams!$E:$E,,0,1)</f>
        <v>#VALUE!</v>
      </c>
      <c r="L61" s="145">
        <f t="shared" ca="1" si="10"/>
        <v>91</v>
      </c>
      <c r="M61" s="145" t="e" vm="117">
        <f ca="1">_xlfn.XLOOKUP(I61,Teams!$C:$C,Teams!$E:$E,,0,1)</f>
        <v>#VALUE!</v>
      </c>
      <c r="N61" s="145">
        <f t="shared" ca="1" si="10"/>
        <v>112</v>
      </c>
      <c r="O61" s="197" t="str">
        <f t="shared" ca="1" si="16"/>
        <v>Cleveland State</v>
      </c>
      <c r="P61" s="271" t="e" vm="117">
        <f ca="1">_xlfn.XLOOKUP(O61,Teams!$C:$C,Teams!$E:$E,,0,1)</f>
        <v>#VALUE!</v>
      </c>
      <c r="Q61" s="276"/>
      <c r="R61" s="6" t="b">
        <f t="shared" ca="1" si="6"/>
        <v>1</v>
      </c>
      <c r="S61" s="98"/>
    </row>
    <row r="62" spans="1:19" ht="24" customHeight="1" thickBot="1" x14ac:dyDescent="0.3">
      <c r="A62" s="91" t="str">
        <f t="shared" ca="1" si="17"/>
        <v>Connecticut</v>
      </c>
      <c r="B62" s="91" t="str">
        <f t="shared" ca="1" si="18"/>
        <v>Dartmouth</v>
      </c>
      <c r="C62" s="91" t="str">
        <f t="shared" ca="1" si="14"/>
        <v>Dartmouth</v>
      </c>
      <c r="D62" s="91" t="e">
        <f t="shared" si="15"/>
        <v>#REF!</v>
      </c>
      <c r="E62" s="146">
        <v>56</v>
      </c>
      <c r="F62" s="147" cm="1">
        <f t="array" aca="1" ref="F62" ca="1">_xlfn.XLOOKUP(G62,Teams[[#All],[Team]],Teams[[#All],[Seed]],0,0,1)</f>
        <v>14</v>
      </c>
      <c r="G62" s="148" t="str">
        <f ca="1">O52</f>
        <v>Connecticut</v>
      </c>
      <c r="H62" s="185" t="s">
        <v>9</v>
      </c>
      <c r="I62" s="149" t="str">
        <f ca="1">O53</f>
        <v>Dartmouth</v>
      </c>
      <c r="J62" s="150" cm="1">
        <f t="array" aca="1" ref="J62" ca="1">_xlfn.XLOOKUP(I62,Teams[[#All],[Team]],Teams[[#All],[Seed]],0,0,1)</f>
        <v>15</v>
      </c>
      <c r="K62" s="151" t="e" vm="124">
        <f ca="1">_xlfn.XLOOKUP(G62,Teams!$C:$C,Teams!$E:$E,,0,1)</f>
        <v>#VALUE!</v>
      </c>
      <c r="L62" s="151">
        <f t="shared" ca="1" si="10"/>
        <v>107</v>
      </c>
      <c r="M62" s="151" t="e" vm="128">
        <f ca="1">_xlfn.XLOOKUP(I62,Teams!$C:$C,Teams!$E:$E,,0,1)</f>
        <v>#VALUE!</v>
      </c>
      <c r="N62" s="151">
        <f t="shared" ca="1" si="10"/>
        <v>90</v>
      </c>
      <c r="O62" s="198" t="str">
        <f t="shared" ca="1" si="16"/>
        <v>Connecticut</v>
      </c>
      <c r="P62" s="272" t="e" vm="124">
        <f ca="1">_xlfn.XLOOKUP(O62,Teams!$C:$C,Teams!$E:$E,,0,1)</f>
        <v>#VALUE!</v>
      </c>
      <c r="Q62" s="276"/>
      <c r="R62" s="6" t="b">
        <f t="shared" ca="1" si="6"/>
        <v>0</v>
      </c>
      <c r="S62" s="98"/>
    </row>
    <row r="63" spans="1:19" ht="24" customHeight="1" thickBot="1" x14ac:dyDescent="0.3">
      <c r="E63" s="67" t="s">
        <v>10</v>
      </c>
      <c r="F63" s="256" t="str">
        <f>Bracket!L2</f>
        <v>Elite 8</v>
      </c>
      <c r="G63" s="256"/>
      <c r="H63" s="256"/>
      <c r="I63" s="256"/>
      <c r="J63" s="256"/>
      <c r="K63" s="68"/>
      <c r="L63" s="68"/>
      <c r="M63" s="68"/>
      <c r="N63" s="68"/>
      <c r="O63" s="68" t="s">
        <v>8</v>
      </c>
      <c r="P63" s="68"/>
      <c r="Q63" s="274"/>
      <c r="S63" s="98"/>
    </row>
    <row r="64" spans="1:19" ht="24" customHeight="1" thickBot="1" x14ac:dyDescent="0.3">
      <c r="A64" s="91" t="str">
        <f ca="1">G64</f>
        <v>Alcorn State</v>
      </c>
      <c r="B64" s="91" t="str">
        <f ca="1">I64</f>
        <v>American</v>
      </c>
      <c r="C64" s="91" t="str">
        <f ca="1">IF(O64="","",IF(A64=O64,B64,A64))</f>
        <v>Alcorn State</v>
      </c>
      <c r="D64" s="91" t="e">
        <f>IF(SeedType=1,0,IF(SeedType=2,VLOOKUP(O64,SeedInfo,2,FALSE)*4,MAX(VLOOKUP(O64,SeedInfo,2,FALSE)-VLOOKUP(C64,SeedInfo,2,FALSE),0)))</f>
        <v>#REF!</v>
      </c>
      <c r="E64" s="153">
        <v>57</v>
      </c>
      <c r="F64" s="154" cm="1">
        <f t="array" aca="1" ref="F64" ca="1">_xlfn.XLOOKUP(G64,Teams[[#All],[Team]],Teams[[#All],[Seed]],0,0,1)</f>
        <v>13</v>
      </c>
      <c r="G64" s="155" t="str">
        <f ca="1">O55</f>
        <v>Alcorn State</v>
      </c>
      <c r="H64" s="186" t="s">
        <v>9</v>
      </c>
      <c r="I64" s="156" t="str">
        <f ca="1">O56</f>
        <v>American</v>
      </c>
      <c r="J64" s="157" cm="1">
        <f t="array" aca="1" ref="J64" ca="1">_xlfn.XLOOKUP(I64,Teams[[#All],[Team]],Teams[[#All],[Seed]],0,0,1)</f>
        <v>6</v>
      </c>
      <c r="K64" s="158" t="e" vm="72">
        <f ca="1">_xlfn.XLOOKUP(G64,Teams!$C:$C,Teams!$E:$E,,0,1)</f>
        <v>#VALUE!</v>
      </c>
      <c r="L64" s="158">
        <f t="shared" ca="1" si="10"/>
        <v>93</v>
      </c>
      <c r="M64" s="158" t="e" vm="73">
        <f ca="1">_xlfn.XLOOKUP(I64,Teams!$C:$C,Teams!$E:$E,,0,1)</f>
        <v>#VALUE!</v>
      </c>
      <c r="N64" s="158">
        <f t="shared" ca="1" si="10"/>
        <v>109</v>
      </c>
      <c r="O64" s="199" t="str">
        <f ca="1">IF(L64&gt;N64,G64,I64)</f>
        <v>American</v>
      </c>
      <c r="P64" s="264" t="e" vm="73">
        <f ca="1">_xlfn.XLOOKUP(O64,Teams!$C:$C,Teams!$E:$E,,0,1)</f>
        <v>#VALUE!</v>
      </c>
      <c r="Q64" s="275"/>
      <c r="R64" s="6" t="b">
        <f t="shared" ca="1" si="6"/>
        <v>0</v>
      </c>
      <c r="S64" s="98"/>
    </row>
    <row r="65" spans="1:19" ht="24" customHeight="1" thickBot="1" x14ac:dyDescent="0.3">
      <c r="A65" s="91" t="str">
        <f ca="1">G65</f>
        <v>Auburn</v>
      </c>
      <c r="B65" s="91" t="str">
        <f ca="1">I65</f>
        <v>Brown</v>
      </c>
      <c r="C65" s="91" t="str">
        <f ca="1">IF(O65="","",IF(A65=O65,B65,A65))</f>
        <v>Brown</v>
      </c>
      <c r="D65" s="91" t="e">
        <f>IF(SeedType=1,0,IF(SeedType=2,VLOOKUP(O65,SeedInfo,2,FALSE)*4,MAX(VLOOKUP(O65,SeedInfo,2,FALSE)-VLOOKUP(C65,SeedInfo,2,FALSE),0)))</f>
        <v>#REF!</v>
      </c>
      <c r="E65" s="159">
        <v>58</v>
      </c>
      <c r="F65" s="160" cm="1">
        <f t="array" aca="1" ref="F65" ca="1">_xlfn.XLOOKUP(G65,Teams[[#All],[Team]],Teams[[#All],[Seed]],0,0,1)</f>
        <v>1</v>
      </c>
      <c r="G65" s="161" t="str">
        <f ca="1">O57</f>
        <v>Auburn</v>
      </c>
      <c r="H65" s="187" t="s">
        <v>9</v>
      </c>
      <c r="I65" s="162" t="str">
        <f ca="1">O58</f>
        <v>Brown</v>
      </c>
      <c r="J65" s="163" cm="1">
        <f t="array" aca="1" ref="J65" ca="1">_xlfn.XLOOKUP(I65,Teams[[#All],[Team]],Teams[[#All],[Seed]],0,0,1)</f>
        <v>2</v>
      </c>
      <c r="K65" s="164" t="e" vm="81">
        <f ca="1">_xlfn.XLOOKUP(G65,Teams!$C:$C,Teams!$E:$E,,0,1)</f>
        <v>#VALUE!</v>
      </c>
      <c r="L65" s="164">
        <f t="shared" ca="1" si="10"/>
        <v>103</v>
      </c>
      <c r="M65" s="164" t="e" vm="95">
        <f ca="1">_xlfn.XLOOKUP(I65,Teams!$C:$C,Teams!$E:$E,,0,1)</f>
        <v>#VALUE!</v>
      </c>
      <c r="N65" s="164">
        <f t="shared" ca="1" si="10"/>
        <v>91</v>
      </c>
      <c r="O65" s="200" t="str">
        <f ca="1">IF(L65&gt;N65,G65,I65)</f>
        <v>Auburn</v>
      </c>
      <c r="P65" s="267" t="e" vm="81">
        <f ca="1">_xlfn.XLOOKUP(O65,Teams!$C:$C,Teams!$E:$E,,0,1)</f>
        <v>#VALUE!</v>
      </c>
      <c r="Q65" s="276"/>
      <c r="R65" s="6" t="b">
        <f t="shared" ca="1" si="6"/>
        <v>0</v>
      </c>
      <c r="S65" s="98"/>
    </row>
    <row r="66" spans="1:19" ht="24" customHeight="1" thickBot="1" x14ac:dyDescent="0.3">
      <c r="A66" s="91" t="str">
        <f ca="1">G66</f>
        <v>Cal Poly</v>
      </c>
      <c r="B66" s="91" t="str">
        <f ca="1">I66</f>
        <v>Central Michigan</v>
      </c>
      <c r="C66" s="91" t="str">
        <f ca="1">IF(O66="","",IF(A66=O66,B66,A66))</f>
        <v>Central Michigan</v>
      </c>
      <c r="D66" s="91" t="e">
        <f>IF(SeedType=1,0,IF(SeedType=2,VLOOKUP(O66,SeedInfo,2,FALSE)*4,MAX(VLOOKUP(O66,SeedInfo,2,FALSE)-VLOOKUP(C66,SeedInfo,2,FALSE),0)))</f>
        <v>#REF!</v>
      </c>
      <c r="E66" s="153">
        <v>59</v>
      </c>
      <c r="F66" s="154" cm="1">
        <f t="array" aca="1" ref="F66" ca="1">_xlfn.XLOOKUP(G66,Teams[[#All],[Team]],Teams[[#All],[Seed]],0,0,1)</f>
        <v>9</v>
      </c>
      <c r="G66" s="155" t="str">
        <f ca="1">O59</f>
        <v>Cal Poly</v>
      </c>
      <c r="H66" s="186" t="s">
        <v>9</v>
      </c>
      <c r="I66" s="156" t="str">
        <f ca="1">O60</f>
        <v>Central Michigan</v>
      </c>
      <c r="J66" s="157" cm="1">
        <f t="array" aca="1" ref="J66" ca="1">_xlfn.XLOOKUP(I66,Teams[[#All],[Team]],Teams[[#All],[Seed]],0,0,1)</f>
        <v>10</v>
      </c>
      <c r="K66" s="158" t="e" vm="100">
        <f ca="1">_xlfn.XLOOKUP(G66,Teams!$C:$C,Teams!$E:$E,,0,1)</f>
        <v>#VALUE!</v>
      </c>
      <c r="L66" s="158">
        <f t="shared" ca="1" si="10"/>
        <v>118</v>
      </c>
      <c r="M66" s="158" t="e" vm="110">
        <f ca="1">_xlfn.XLOOKUP(I66,Teams!$C:$C,Teams!$E:$E,,0,1)</f>
        <v>#VALUE!</v>
      </c>
      <c r="N66" s="158">
        <f t="shared" ca="1" si="10"/>
        <v>117</v>
      </c>
      <c r="O66" s="199" t="str">
        <f ca="1">IF(L66&gt;N66,G66,I66)</f>
        <v>Cal Poly</v>
      </c>
      <c r="P66" s="264" t="e" vm="100">
        <f ca="1">_xlfn.XLOOKUP(O66,Teams!$C:$C,Teams!$E:$E,,0,1)</f>
        <v>#VALUE!</v>
      </c>
      <c r="Q66" s="275"/>
      <c r="R66" s="6" t="b">
        <f t="shared" ca="1" si="6"/>
        <v>0</v>
      </c>
      <c r="S66" s="98"/>
    </row>
    <row r="67" spans="1:19" ht="24" customHeight="1" thickBot="1" x14ac:dyDescent="0.3">
      <c r="A67" s="91" t="str">
        <f ca="1">G67</f>
        <v>Cleveland State</v>
      </c>
      <c r="B67" s="91" t="str">
        <f ca="1">I67</f>
        <v>Connecticut</v>
      </c>
      <c r="C67" s="91" t="str">
        <f ca="1">IF(O67="","",IF(A67=O67,B67,A67))</f>
        <v>Connecticut</v>
      </c>
      <c r="D67" s="91" t="e">
        <f>IF(SeedType=1,0,IF(SeedType=2,VLOOKUP(O67,SeedInfo,2,FALSE)*4,MAX(VLOOKUP(O67,SeedInfo,2,FALSE)-VLOOKUP(C67,SeedInfo,2,FALSE),0)))</f>
        <v>#REF!</v>
      </c>
      <c r="E67" s="159">
        <v>60</v>
      </c>
      <c r="F67" s="160" cm="1">
        <f t="array" aca="1" ref="F67" ca="1">_xlfn.XLOOKUP(G67,Teams[[#All],[Team]],Teams[[#All],[Seed]],0,0,1)</f>
        <v>5</v>
      </c>
      <c r="G67" s="161" t="str">
        <f ca="1">O61</f>
        <v>Cleveland State</v>
      </c>
      <c r="H67" s="187" t="s">
        <v>9</v>
      </c>
      <c r="I67" s="162" t="str">
        <f ca="1">O62</f>
        <v>Connecticut</v>
      </c>
      <c r="J67" s="163" cm="1">
        <f t="array" aca="1" ref="J67" ca="1">_xlfn.XLOOKUP(I67,Teams[[#All],[Team]],Teams[[#All],[Seed]],0,0,1)</f>
        <v>14</v>
      </c>
      <c r="K67" s="164" t="e" vm="117">
        <f ca="1">_xlfn.XLOOKUP(G67,Teams!$C:$C,Teams!$E:$E,,0,1)</f>
        <v>#VALUE!</v>
      </c>
      <c r="L67" s="164">
        <f t="shared" ca="1" si="10"/>
        <v>109</v>
      </c>
      <c r="M67" s="164" t="e" vm="124">
        <f ca="1">_xlfn.XLOOKUP(I67,Teams!$C:$C,Teams!$E:$E,,0,1)</f>
        <v>#VALUE!</v>
      </c>
      <c r="N67" s="164">
        <f t="shared" ca="1" si="10"/>
        <v>98</v>
      </c>
      <c r="O67" s="200" t="str">
        <f ca="1">IF(L67&gt;N67,G67,I67)</f>
        <v>Cleveland State</v>
      </c>
      <c r="P67" s="267" t="e" vm="117">
        <f ca="1">_xlfn.XLOOKUP(O67,Teams!$C:$C,Teams!$E:$E,,0,1)</f>
        <v>#VALUE!</v>
      </c>
      <c r="Q67" s="276"/>
      <c r="R67" s="6" t="b">
        <f t="shared" ca="1" si="6"/>
        <v>0</v>
      </c>
      <c r="S67" s="98"/>
    </row>
    <row r="68" spans="1:19" ht="24" customHeight="1" thickBot="1" x14ac:dyDescent="0.3">
      <c r="E68" s="67" t="s">
        <v>10</v>
      </c>
      <c r="F68" s="256" t="str">
        <f>Bracket!O2</f>
        <v>Final Four</v>
      </c>
      <c r="G68" s="256"/>
      <c r="H68" s="256"/>
      <c r="I68" s="256"/>
      <c r="J68" s="256"/>
      <c r="K68" s="68"/>
      <c r="L68" s="68"/>
      <c r="M68" s="68"/>
      <c r="N68" s="68"/>
      <c r="O68" s="68" t="s">
        <v>8</v>
      </c>
      <c r="P68" s="68"/>
      <c r="Q68" s="274"/>
      <c r="S68" s="98"/>
    </row>
    <row r="69" spans="1:19" ht="24" customHeight="1" thickBot="1" x14ac:dyDescent="0.3">
      <c r="A69" s="91" t="str">
        <f ca="1">G69</f>
        <v>American</v>
      </c>
      <c r="B69" s="91" t="str">
        <f ca="1">I69</f>
        <v>Auburn</v>
      </c>
      <c r="C69" s="91" t="str">
        <f ca="1">IF(O69="","",IF(A69=O69,B69,A69))</f>
        <v>American</v>
      </c>
      <c r="D69" s="91" t="e">
        <f>IF(SeedType=1,0,IF(SeedType=2,VLOOKUP(O69,SeedInfo,2,FALSE)*5,MAX(VLOOKUP(O69,SeedInfo,2,FALSE)-VLOOKUP(C69,SeedInfo,2,FALSE),0)))</f>
        <v>#REF!</v>
      </c>
      <c r="E69" s="165">
        <v>61</v>
      </c>
      <c r="F69" s="166" cm="1">
        <f t="array" aca="1" ref="F69" ca="1">_xlfn.XLOOKUP(G69,Teams[[#All],[Team]],Teams[[#All],[Seed]],0,0,1)</f>
        <v>6</v>
      </c>
      <c r="G69" s="167" t="str">
        <f ca="1">O64</f>
        <v>American</v>
      </c>
      <c r="H69" s="188" t="s">
        <v>9</v>
      </c>
      <c r="I69" s="168" t="str">
        <f ca="1">O65</f>
        <v>Auburn</v>
      </c>
      <c r="J69" s="169" cm="1">
        <f t="array" aca="1" ref="J69" ca="1">_xlfn.XLOOKUP(I69,Teams[[#All],[Team]],Teams[[#All],[Seed]],0,0,1)</f>
        <v>1</v>
      </c>
      <c r="K69" s="170" t="e" vm="73">
        <f ca="1">_xlfn.XLOOKUP(G69,Teams!$C:$C,Teams!$E:$E,,0,1)</f>
        <v>#VALUE!</v>
      </c>
      <c r="L69" s="170">
        <f t="shared" ca="1" si="10"/>
        <v>112</v>
      </c>
      <c r="M69" s="170" t="e" vm="81">
        <f ca="1">_xlfn.XLOOKUP(I69,Teams!$C:$C,Teams!$E:$E,,0,1)</f>
        <v>#VALUE!</v>
      </c>
      <c r="N69" s="170">
        <f t="shared" ca="1" si="10"/>
        <v>116</v>
      </c>
      <c r="O69" s="201" t="str">
        <f ca="1">IF(L69&gt;N69,G69,I69)</f>
        <v>Auburn</v>
      </c>
      <c r="P69" s="270" t="e" vm="81">
        <f ca="1">_xlfn.XLOOKUP(O69,Teams!$C:$C,Teams!$E:$E,,0,1)</f>
        <v>#VALUE!</v>
      </c>
      <c r="Q69" s="275"/>
      <c r="R69" s="6" t="b">
        <f t="shared" ca="1" si="6"/>
        <v>0</v>
      </c>
      <c r="S69" s="98"/>
    </row>
    <row r="70" spans="1:19" ht="24" customHeight="1" thickBot="1" x14ac:dyDescent="0.3">
      <c r="A70" s="91" t="str">
        <f ca="1">G70</f>
        <v>Cal Poly</v>
      </c>
      <c r="B70" s="91" t="str">
        <f ca="1">I70</f>
        <v>Cleveland State</v>
      </c>
      <c r="C70" s="91" t="str">
        <f ca="1">IF(O70="","",IF(A70=O70,B70,A70))</f>
        <v>Cal Poly</v>
      </c>
      <c r="D70" s="91" t="e">
        <f>IF(SeedType=1,0,IF(SeedType=2,VLOOKUP(O70,SeedInfo,2,FALSE)*5,MAX(VLOOKUP(O70,SeedInfo,2,FALSE)-VLOOKUP(C70,SeedInfo,2,FALSE),0)))</f>
        <v>#REF!</v>
      </c>
      <c r="E70" s="159">
        <v>62</v>
      </c>
      <c r="F70" s="160" cm="1">
        <f t="array" aca="1" ref="F70" ca="1">_xlfn.XLOOKUP(G70,Teams[[#All],[Team]],Teams[[#All],[Seed]],0,0,1)</f>
        <v>9</v>
      </c>
      <c r="G70" s="161" t="str">
        <f ca="1">O66</f>
        <v>Cal Poly</v>
      </c>
      <c r="H70" s="187" t="s">
        <v>9</v>
      </c>
      <c r="I70" s="162" t="str">
        <f ca="1">O67</f>
        <v>Cleveland State</v>
      </c>
      <c r="J70" s="163" cm="1">
        <f t="array" aca="1" ref="J70" ca="1">_xlfn.XLOOKUP(I70,Teams[[#All],[Team]],Teams[[#All],[Seed]],0,0,1)</f>
        <v>5</v>
      </c>
      <c r="K70" s="164" t="e" vm="100">
        <f ca="1">_xlfn.XLOOKUP(G70,Teams!$C:$C,Teams!$E:$E,,0,1)</f>
        <v>#VALUE!</v>
      </c>
      <c r="L70" s="164">
        <f t="shared" ca="1" si="10"/>
        <v>97</v>
      </c>
      <c r="M70" s="164" t="e" vm="117">
        <f ca="1">_xlfn.XLOOKUP(I70,Teams!$C:$C,Teams!$E:$E,,0,1)</f>
        <v>#VALUE!</v>
      </c>
      <c r="N70" s="164">
        <f t="shared" ca="1" si="10"/>
        <v>120</v>
      </c>
      <c r="O70" s="200" t="str">
        <f ca="1">IF(L70&gt;N70,G70,I70)</f>
        <v>Cleveland State</v>
      </c>
      <c r="P70" s="273" t="e" vm="117">
        <f ca="1">_xlfn.XLOOKUP(O70,Teams!$C:$C,Teams!$E:$E,,0,1)</f>
        <v>#VALUE!</v>
      </c>
      <c r="Q70" s="276"/>
      <c r="R70" s="6" t="b">
        <f t="shared" ref="R70:R72" ca="1" si="19">IF(
O70=G70,
IF(F70&gt;J70,TRUE,FALSE),
IF(J70&gt;F70,TRUE,FALSE))</f>
        <v>0</v>
      </c>
      <c r="S70" s="98"/>
    </row>
    <row r="71" spans="1:19" ht="24" customHeight="1" thickBot="1" x14ac:dyDescent="0.3">
      <c r="A71" s="171"/>
      <c r="B71" s="171"/>
      <c r="C71" s="171"/>
      <c r="D71" s="171"/>
      <c r="E71" s="67" t="s">
        <v>10</v>
      </c>
      <c r="F71" s="256" t="str">
        <f>Bracket!S2</f>
        <v>Championship</v>
      </c>
      <c r="G71" s="256"/>
      <c r="H71" s="256"/>
      <c r="I71" s="256"/>
      <c r="J71" s="256"/>
      <c r="K71" s="68"/>
      <c r="L71" s="68"/>
      <c r="M71" s="68"/>
      <c r="N71" s="68"/>
      <c r="O71" s="68" t="s">
        <v>8</v>
      </c>
      <c r="P71" s="68"/>
      <c r="Q71" s="274"/>
      <c r="S71" s="98"/>
    </row>
    <row r="72" spans="1:19" ht="24" customHeight="1" thickBot="1" x14ac:dyDescent="0.3">
      <c r="A72" s="91" t="str">
        <f ca="1">G72</f>
        <v>Auburn</v>
      </c>
      <c r="B72" s="91" t="str">
        <f ca="1">I72</f>
        <v>Cleveland State</v>
      </c>
      <c r="C72" s="91" t="str">
        <f ca="1">IF(O72="","",IF(A72=O72,B72,A72))</f>
        <v>Cleveland State</v>
      </c>
      <c r="D72" s="91" t="e">
        <f>IF(SeedType=1,0,IF(SeedType=2,VLOOKUP(O72,SeedInfo,2,FALSE)*6,MAX(VLOOKUP(O72,SeedInfo,2,FALSE)-VLOOKUP(C72,SeedInfo,2,FALSE),0)))</f>
        <v>#REF!</v>
      </c>
      <c r="E72" s="153">
        <v>63</v>
      </c>
      <c r="F72" s="154" cm="1">
        <f t="array" aca="1" ref="F72" ca="1">_xlfn.XLOOKUP(G72,Teams[[#All],[Team]],Teams[[#All],[Seed]],0,0,1)</f>
        <v>1</v>
      </c>
      <c r="G72" s="155" t="str">
        <f ca="1">O69</f>
        <v>Auburn</v>
      </c>
      <c r="H72" s="186" t="s">
        <v>9</v>
      </c>
      <c r="I72" s="156" t="str">
        <f ca="1">O70</f>
        <v>Cleveland State</v>
      </c>
      <c r="J72" s="157" cm="1">
        <f t="array" aca="1" ref="J72" ca="1">_xlfn.XLOOKUP(I72,Teams[[#All],[Team]],Teams[[#All],[Seed]],0,0,1)</f>
        <v>5</v>
      </c>
      <c r="K72" s="158" t="e" vm="81">
        <f ca="1">_xlfn.XLOOKUP(G72,Teams!$C:$C,Teams!$E:$E,,0,1)</f>
        <v>#VALUE!</v>
      </c>
      <c r="L72" s="158">
        <f t="shared" ca="1" si="10"/>
        <v>119</v>
      </c>
      <c r="M72" s="158" t="e" vm="117">
        <f ca="1">_xlfn.XLOOKUP(I72,Teams!$C:$C,Teams!$E:$E,,0,1)</f>
        <v>#VALUE!</v>
      </c>
      <c r="N72" s="158">
        <f t="shared" ca="1" si="10"/>
        <v>96</v>
      </c>
      <c r="O72" s="199" t="str">
        <f ca="1">IF(L72&gt;N72,G72,I72)</f>
        <v>Auburn</v>
      </c>
      <c r="P72" s="265" t="e" vm="81">
        <f ca="1">_xlfn.XLOOKUP(O72,Teams!$C:$C,Teams!$E:$E,,0,1)</f>
        <v>#VALUE!</v>
      </c>
      <c r="Q72" s="277"/>
      <c r="R72" s="6" t="b">
        <f t="shared" ca="1" si="19"/>
        <v>0</v>
      </c>
      <c r="S72" s="98"/>
    </row>
    <row r="73" spans="1:19" x14ac:dyDescent="0.25"/>
    <row r="74" spans="1:19" x14ac:dyDescent="0.25"/>
    <row r="75" spans="1:19" x14ac:dyDescent="0.25"/>
  </sheetData>
  <mergeCells count="13">
    <mergeCell ref="Q3:Q4"/>
    <mergeCell ref="F71:J71"/>
    <mergeCell ref="O3:O4"/>
    <mergeCell ref="E3:E4"/>
    <mergeCell ref="F3:F4"/>
    <mergeCell ref="J3:J4"/>
    <mergeCell ref="G3:I4"/>
    <mergeCell ref="F37:J37"/>
    <mergeCell ref="F54:J54"/>
    <mergeCell ref="F63:J63"/>
    <mergeCell ref="F68:J68"/>
    <mergeCell ref="K3:L4"/>
    <mergeCell ref="M3:N4"/>
  </mergeCells>
  <phoneticPr fontId="0" type="noConversion"/>
  <pageMargins left="0.5" right="0.5" top="0.5" bottom="0.5" header="0.25" footer="0.25"/>
  <pageSetup scale="90" fitToHeight="0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U70"/>
  <sheetViews>
    <sheetView showGridLines="0" tabSelected="1" zoomScale="50" zoomScaleNormal="60" workbookViewId="0">
      <selection activeCell="U54" sqref="U54"/>
    </sheetView>
  </sheetViews>
  <sheetFormatPr defaultColWidth="0" defaultRowHeight="15" zeroHeight="1" x14ac:dyDescent="0.25"/>
  <cols>
    <col min="1" max="1" width="4.33203125" style="19" customWidth="1"/>
    <col min="2" max="2" width="3" style="3" bestFit="1" customWidth="1"/>
    <col min="3" max="3" width="22.21875" style="35" customWidth="1"/>
    <col min="4" max="4" width="5" style="73" customWidth="1"/>
    <col min="5" max="5" width="5" style="45" customWidth="1"/>
    <col min="6" max="6" width="22.21875" style="2" customWidth="1"/>
    <col min="7" max="7" width="5.6640625" style="2" customWidth="1"/>
    <col min="8" max="8" width="5" style="45" customWidth="1"/>
    <col min="9" max="9" width="22.21875" style="2" customWidth="1"/>
    <col min="10" max="10" width="5.6640625" style="2" customWidth="1"/>
    <col min="11" max="11" width="5" style="45" customWidth="1"/>
    <col min="12" max="12" width="22.21875" style="2" customWidth="1"/>
    <col min="13" max="13" width="5.6640625" style="2" customWidth="1"/>
    <col min="14" max="14" width="5" style="45" customWidth="1"/>
    <col min="15" max="15" width="22.21875" style="2" customWidth="1"/>
    <col min="16" max="16" width="5.6640625" style="2" customWidth="1"/>
    <col min="17" max="17" width="5" style="45" customWidth="1"/>
    <col min="18" max="18" width="2" style="2" customWidth="1"/>
    <col min="19" max="19" width="17.77734375" style="2" customWidth="1"/>
    <col min="20" max="20" width="5" style="54" customWidth="1"/>
    <col min="21" max="21" width="12.88671875" style="77" customWidth="1"/>
    <col min="22" max="22" width="5" style="54" customWidth="1"/>
    <col min="23" max="23" width="17.77734375" style="2" customWidth="1"/>
    <col min="24" max="24" width="2.88671875" style="2" customWidth="1"/>
    <col min="25" max="25" width="5" style="45" customWidth="1"/>
    <col min="26" max="26" width="5.6640625" style="45" customWidth="1"/>
    <col min="27" max="27" width="22.21875" style="2" customWidth="1"/>
    <col min="28" max="28" width="5" style="45" customWidth="1"/>
    <col min="29" max="29" width="5.6640625" style="45" customWidth="1"/>
    <col min="30" max="30" width="22.21875" style="2" customWidth="1"/>
    <col min="31" max="31" width="5" style="45" customWidth="1"/>
    <col min="32" max="32" width="5.6640625" style="45" customWidth="1"/>
    <col min="33" max="33" width="22.21875" style="2" customWidth="1"/>
    <col min="34" max="34" width="5" style="45" customWidth="1"/>
    <col min="35" max="35" width="5.6640625" style="45" customWidth="1"/>
    <col min="36" max="36" width="22.21875" style="2" customWidth="1"/>
    <col min="37" max="37" width="5" style="45" customWidth="1"/>
    <col min="38" max="38" width="5" style="79" customWidth="1"/>
    <col min="39" max="39" width="22.21875" style="2" customWidth="1"/>
    <col min="40" max="40" width="3" style="3" bestFit="1" customWidth="1"/>
    <col min="41" max="41" width="4.33203125" style="18" customWidth="1"/>
    <col min="42" max="42" width="3.88671875" style="2" hidden="1" customWidth="1"/>
    <col min="43" max="43" width="19.88671875" style="2" hidden="1" customWidth="1"/>
    <col min="44" max="16384" width="9.109375" style="2" hidden="1"/>
  </cols>
  <sheetData>
    <row r="1" spans="1:47" s="6" customFormat="1" ht="34.799999999999997" x14ac:dyDescent="0.25">
      <c r="A1" s="13"/>
      <c r="B1" s="254" t="s">
        <v>20</v>
      </c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  <c r="Q1" s="254"/>
      <c r="R1" s="254"/>
      <c r="S1" s="254"/>
      <c r="T1" s="254"/>
      <c r="U1" s="254"/>
      <c r="V1" s="254"/>
      <c r="W1" s="254"/>
      <c r="X1" s="254"/>
      <c r="Y1" s="254"/>
      <c r="Z1" s="254"/>
      <c r="AA1" s="254"/>
      <c r="AB1" s="254"/>
      <c r="AC1" s="254"/>
      <c r="AD1" s="254"/>
      <c r="AE1" s="254"/>
      <c r="AF1" s="254"/>
      <c r="AG1" s="254"/>
      <c r="AH1" s="254"/>
      <c r="AI1" s="254"/>
      <c r="AJ1" s="254"/>
      <c r="AK1" s="254"/>
      <c r="AL1" s="254"/>
      <c r="AM1" s="254"/>
      <c r="AN1" s="254"/>
      <c r="AO1" s="17"/>
    </row>
    <row r="2" spans="1:47" s="63" customFormat="1" ht="19.2" customHeight="1" x14ac:dyDescent="0.25">
      <c r="A2" s="60"/>
      <c r="B2" s="61"/>
      <c r="C2" s="61" t="s">
        <v>19</v>
      </c>
      <c r="D2" s="61"/>
      <c r="E2" s="62"/>
      <c r="F2" s="61" t="s">
        <v>7</v>
      </c>
      <c r="G2" s="61"/>
      <c r="H2" s="62"/>
      <c r="I2" s="61" t="s">
        <v>6</v>
      </c>
      <c r="J2" s="61"/>
      <c r="K2" s="62"/>
      <c r="L2" s="61" t="s">
        <v>5</v>
      </c>
      <c r="M2" s="61"/>
      <c r="N2" s="62"/>
      <c r="O2" s="61" t="s">
        <v>1</v>
      </c>
      <c r="P2" s="61"/>
      <c r="Q2" s="62"/>
      <c r="R2" s="62"/>
      <c r="S2" s="243" t="s">
        <v>2</v>
      </c>
      <c r="T2" s="243"/>
      <c r="U2" s="243"/>
      <c r="V2" s="243"/>
      <c r="W2" s="243"/>
      <c r="X2" s="62"/>
      <c r="Y2" s="62"/>
      <c r="Z2" s="62"/>
      <c r="AA2" s="61" t="s">
        <v>1</v>
      </c>
      <c r="AB2" s="62"/>
      <c r="AC2" s="62"/>
      <c r="AD2" s="61" t="s">
        <v>5</v>
      </c>
      <c r="AE2" s="62"/>
      <c r="AF2" s="62"/>
      <c r="AG2" s="61" t="s">
        <v>6</v>
      </c>
      <c r="AH2" s="62"/>
      <c r="AI2" s="62"/>
      <c r="AJ2" s="61" t="str">
        <f>F2</f>
        <v>Second Round</v>
      </c>
      <c r="AK2" s="62"/>
      <c r="AL2" s="62"/>
      <c r="AM2" s="61" t="str">
        <f>C2</f>
        <v>First Round</v>
      </c>
      <c r="AN2" s="61"/>
      <c r="AO2" s="43"/>
      <c r="AQ2" s="64"/>
      <c r="AU2" s="65" t="s">
        <v>18</v>
      </c>
    </row>
    <row r="3" spans="1:47" s="8" customFormat="1" ht="6" customHeight="1" x14ac:dyDescent="0.3">
      <c r="A3" s="13"/>
      <c r="B3" s="22"/>
      <c r="C3" s="33"/>
      <c r="D3" s="33"/>
      <c r="E3" s="44"/>
      <c r="F3" s="22"/>
      <c r="G3" s="22"/>
      <c r="H3" s="44"/>
      <c r="I3" s="22"/>
      <c r="J3" s="22"/>
      <c r="K3" s="44"/>
      <c r="L3" s="22"/>
      <c r="M3" s="22"/>
      <c r="N3" s="44"/>
      <c r="O3" s="22"/>
      <c r="P3" s="22"/>
      <c r="Q3" s="44"/>
      <c r="R3" s="23"/>
      <c r="S3" s="22"/>
      <c r="T3" s="52"/>
      <c r="U3" s="74"/>
      <c r="V3" s="52"/>
      <c r="W3" s="22"/>
      <c r="X3" s="23"/>
      <c r="Y3" s="44"/>
      <c r="Z3" s="44"/>
      <c r="AA3" s="22"/>
      <c r="AB3" s="44"/>
      <c r="AC3" s="44"/>
      <c r="AD3" s="22"/>
      <c r="AE3" s="44"/>
      <c r="AF3" s="44"/>
      <c r="AG3" s="22"/>
      <c r="AH3" s="44"/>
      <c r="AI3" s="44"/>
      <c r="AJ3" s="22"/>
      <c r="AK3" s="44"/>
      <c r="AL3" s="78"/>
      <c r="AM3" s="22"/>
      <c r="AN3" s="22"/>
      <c r="AO3" s="17"/>
      <c r="AQ3" s="224"/>
      <c r="AU3" s="7" t="s">
        <v>17</v>
      </c>
    </row>
    <row r="4" spans="1:47" ht="9.75" customHeight="1" x14ac:dyDescent="0.25">
      <c r="A4" s="13"/>
      <c r="B4" s="24"/>
      <c r="C4" s="34"/>
      <c r="D4" s="69"/>
      <c r="F4" s="25"/>
      <c r="G4" s="25"/>
      <c r="I4" s="25"/>
      <c r="J4" s="25"/>
      <c r="L4" s="25"/>
      <c r="M4" s="25"/>
      <c r="O4" s="25"/>
      <c r="P4" s="25"/>
      <c r="R4" s="25"/>
      <c r="S4" s="25"/>
      <c r="T4" s="25"/>
      <c r="U4" s="75"/>
      <c r="V4" s="25"/>
      <c r="W4" s="25"/>
      <c r="X4" s="25"/>
      <c r="AA4" s="25"/>
      <c r="AD4" s="25"/>
      <c r="AG4" s="25"/>
      <c r="AJ4" s="25"/>
      <c r="AM4" s="26"/>
      <c r="AN4" s="24"/>
      <c r="AO4" s="17"/>
      <c r="AQ4" s="224"/>
    </row>
    <row r="5" spans="1:47" ht="18.600000000000001" customHeight="1" thickBot="1" x14ac:dyDescent="0.35">
      <c r="A5" s="16"/>
      <c r="B5" s="27">
        <v>1</v>
      </c>
      <c r="C5" s="36" t="str">
        <f>Games!G5</f>
        <v>Abilene Christian</v>
      </c>
      <c r="D5" s="70" t="e" vm="65">
        <f>_xlfn.XLOOKUP(C5,Teams!$C:$C,Teams!$E:$E,,0,1)</f>
        <v>#VALUE!</v>
      </c>
      <c r="E5" s="46">
        <f ca="1">Games!L5</f>
        <v>104</v>
      </c>
      <c r="F5" s="227" t="str">
        <f ca="1">Games!O5</f>
        <v>Air Force</v>
      </c>
      <c r="G5" s="220" t="e" vm="66">
        <f ca="1">_xlfn.XLOOKUP(F5,Teams!$C:$C,Teams!$E:$E,,0,1)</f>
        <v>#VALUE!</v>
      </c>
      <c r="H5" s="255">
        <f ca="1">Games!L38</f>
        <v>92</v>
      </c>
      <c r="I5" s="25"/>
      <c r="J5" s="25"/>
      <c r="L5" s="25"/>
      <c r="M5" s="25"/>
      <c r="O5" s="25"/>
      <c r="P5" s="25"/>
      <c r="R5" s="25"/>
      <c r="S5" s="25"/>
      <c r="T5" s="25"/>
      <c r="U5" s="75"/>
      <c r="V5" s="25"/>
      <c r="W5" s="25"/>
      <c r="X5" s="25"/>
      <c r="AA5" s="25"/>
      <c r="AD5" s="25"/>
      <c r="AG5" s="25"/>
      <c r="AH5" s="225">
        <f ca="1">Games!L46</f>
        <v>116</v>
      </c>
      <c r="AI5" s="215" t="e" vm="97">
        <f ca="1">_xlfn.XLOOKUP(AJ5,Teams!$C:$C,Teams!$E:$E,,0,1)</f>
        <v>#VALUE!</v>
      </c>
      <c r="AJ5" s="227" t="str">
        <f ca="1">Games!O21</f>
        <v>Bucknell</v>
      </c>
      <c r="AK5" s="58">
        <f ca="1">Games!L21</f>
        <v>104</v>
      </c>
      <c r="AL5" s="46" t="e" vm="97">
        <f>_xlfn.XLOOKUP(AM5,Teams!$C:$C,Teams!$E:$E,,0,1)</f>
        <v>#VALUE!</v>
      </c>
      <c r="AM5" s="37" t="str">
        <f>Games!G21</f>
        <v>Bucknell</v>
      </c>
      <c r="AN5" s="27">
        <v>1</v>
      </c>
      <c r="AO5" s="17"/>
      <c r="AQ5" s="224"/>
      <c r="AU5" s="2" t="b">
        <f>IF(AP29="x",TRUE,FALSE)</f>
        <v>1</v>
      </c>
    </row>
    <row r="6" spans="1:47" ht="10.5" customHeight="1" thickBot="1" x14ac:dyDescent="0.35">
      <c r="A6" s="219">
        <f>IF($AU$5=TRUE,1,"")</f>
        <v>1</v>
      </c>
      <c r="B6" s="28"/>
      <c r="C6" s="38"/>
      <c r="D6" s="71"/>
      <c r="E6" s="47"/>
      <c r="F6" s="228"/>
      <c r="G6" s="221"/>
      <c r="H6" s="226"/>
      <c r="I6" s="25"/>
      <c r="J6" s="25"/>
      <c r="L6" s="25"/>
      <c r="M6" s="25"/>
      <c r="O6" s="25"/>
      <c r="P6" s="25"/>
      <c r="R6" s="25"/>
      <c r="S6" s="25"/>
      <c r="T6" s="25"/>
      <c r="U6" s="75"/>
      <c r="V6" s="25"/>
      <c r="W6" s="25"/>
      <c r="X6" s="25"/>
      <c r="AA6" s="25"/>
      <c r="AD6" s="25"/>
      <c r="AG6" s="25"/>
      <c r="AH6" s="226"/>
      <c r="AI6" s="216"/>
      <c r="AJ6" s="228"/>
      <c r="AK6" s="55"/>
      <c r="AM6" s="39"/>
      <c r="AN6" s="28"/>
      <c r="AO6" s="229">
        <f>IF($AU$5=TRUE,A66+1,"")</f>
        <v>17</v>
      </c>
      <c r="AQ6" s="224"/>
    </row>
    <row r="7" spans="1:47" ht="13.8" customHeight="1" thickBot="1" x14ac:dyDescent="0.35">
      <c r="A7" s="219"/>
      <c r="B7" s="27">
        <v>16</v>
      </c>
      <c r="C7" s="40" t="str">
        <f>Games!I5</f>
        <v>Air Force</v>
      </c>
      <c r="D7" s="70" t="e" vm="66">
        <f>_xlfn.XLOOKUP(C7,Teams!$C:$C,Teams!$E:$E,,0,1)</f>
        <v>#VALUE!</v>
      </c>
      <c r="E7" s="48">
        <f ca="1">Games!N5</f>
        <v>111</v>
      </c>
      <c r="F7" s="230">
        <f>IF($AU$5=TRUE,AO66+1,"")</f>
        <v>33</v>
      </c>
      <c r="G7" s="14"/>
      <c r="H7" s="49"/>
      <c r="I7" s="233" t="str">
        <f ca="1">Games!O38</f>
        <v>Alabama</v>
      </c>
      <c r="J7" s="220" t="e" vm="68">
        <f ca="1">_xlfn.XLOOKUP(I7,Teams!$C:$C,Teams!$E:$E,,0,1)</f>
        <v>#VALUE!</v>
      </c>
      <c r="K7" s="225">
        <f ca="1">Games!L55</f>
        <v>99</v>
      </c>
      <c r="L7" s="25"/>
      <c r="M7" s="25"/>
      <c r="O7" s="25"/>
      <c r="P7" s="25"/>
      <c r="R7" s="25"/>
      <c r="S7" s="25"/>
      <c r="T7" s="25"/>
      <c r="U7" s="75"/>
      <c r="V7" s="25"/>
      <c r="W7" s="25"/>
      <c r="X7" s="25"/>
      <c r="AA7" s="25"/>
      <c r="AD7" s="25"/>
      <c r="AE7" s="225">
        <f ca="1">Games!L59</f>
        <v>115</v>
      </c>
      <c r="AF7" s="215" t="e" vm="100">
        <f ca="1">_xlfn.XLOOKUP(AG7,Teams!$C:$C,Teams!$E:$E,,0,1)</f>
        <v>#VALUE!</v>
      </c>
      <c r="AG7" s="227" t="str">
        <f ca="1">Games!O46</f>
        <v>Cal Poly</v>
      </c>
      <c r="AH7" s="55"/>
      <c r="AI7" s="51"/>
      <c r="AJ7" s="230">
        <f>IF($AU$5=TRUE,F63+1,"")</f>
        <v>41</v>
      </c>
      <c r="AK7" s="59">
        <f ca="1">Games!N21</f>
        <v>98</v>
      </c>
      <c r="AL7" s="46" t="e" vm="98">
        <f>_xlfn.XLOOKUP(AM7,Teams!$C:$C,Teams!$E:$E,,0,1)</f>
        <v>#VALUE!</v>
      </c>
      <c r="AM7" s="37" t="str">
        <f>Games!I21</f>
        <v>Buffalo</v>
      </c>
      <c r="AN7" s="27">
        <v>16</v>
      </c>
      <c r="AO7" s="229"/>
      <c r="AQ7" s="224"/>
    </row>
    <row r="8" spans="1:47" ht="10.199999999999999" customHeight="1" thickBot="1" x14ac:dyDescent="0.35">
      <c r="A8" s="16"/>
      <c r="B8" s="28"/>
      <c r="C8" s="38"/>
      <c r="D8" s="71"/>
      <c r="F8" s="219"/>
      <c r="G8" s="15"/>
      <c r="H8" s="50"/>
      <c r="I8" s="234"/>
      <c r="J8" s="221"/>
      <c r="K8" s="226"/>
      <c r="L8" s="25"/>
      <c r="M8" s="25"/>
      <c r="O8" s="25"/>
      <c r="P8" s="25"/>
      <c r="R8" s="25"/>
      <c r="S8" s="25"/>
      <c r="T8" s="25"/>
      <c r="U8" s="75"/>
      <c r="V8" s="25"/>
      <c r="W8" s="25"/>
      <c r="X8" s="25"/>
      <c r="AA8" s="25"/>
      <c r="AD8" s="25"/>
      <c r="AE8" s="226"/>
      <c r="AF8" s="216"/>
      <c r="AG8" s="228"/>
      <c r="AH8" s="56"/>
      <c r="AJ8" s="219"/>
      <c r="AM8" s="39"/>
      <c r="AN8" s="28"/>
      <c r="AO8" s="17"/>
      <c r="AQ8" s="224"/>
    </row>
    <row r="9" spans="1:47" ht="18.600000000000001" customHeight="1" thickBot="1" x14ac:dyDescent="0.35">
      <c r="A9" s="16"/>
      <c r="B9" s="27">
        <v>8</v>
      </c>
      <c r="C9" s="36" t="str">
        <f>Games!G6</f>
        <v>Akron</v>
      </c>
      <c r="D9" s="70" t="e" vm="67">
        <f>_xlfn.XLOOKUP(C9,Teams!$C:$C,Teams!$E:$E,,0,1)</f>
        <v>#VALUE!</v>
      </c>
      <c r="E9" s="46">
        <f ca="1">Games!L6</f>
        <v>111</v>
      </c>
      <c r="F9" s="227" t="str">
        <f ca="1">Games!O6</f>
        <v>Alabama</v>
      </c>
      <c r="G9" s="220" t="e" vm="68">
        <f ca="1">_xlfn.XLOOKUP(F9,Teams!$C:$C,Teams!$E:$E,,0,1)</f>
        <v>#VALUE!</v>
      </c>
      <c r="H9" s="222">
        <f ca="1">Games!N38</f>
        <v>108</v>
      </c>
      <c r="I9" s="24"/>
      <c r="J9" s="24"/>
      <c r="K9" s="49"/>
      <c r="L9" s="25"/>
      <c r="M9" s="25"/>
      <c r="O9" s="25"/>
      <c r="P9" s="25"/>
      <c r="R9" s="25"/>
      <c r="S9" s="25"/>
      <c r="T9" s="25"/>
      <c r="U9" s="75"/>
      <c r="V9" s="25"/>
      <c r="W9" s="25"/>
      <c r="X9" s="25"/>
      <c r="AA9" s="25"/>
      <c r="AD9" s="25"/>
      <c r="AE9" s="55"/>
      <c r="AG9" s="24"/>
      <c r="AH9" s="217">
        <f ca="1">Games!N46</f>
        <v>118</v>
      </c>
      <c r="AI9" s="215" t="e" vm="100">
        <f ca="1">_xlfn.XLOOKUP(AJ9,Teams!$C:$C,Teams!$E:$E,,0,1)</f>
        <v>#VALUE!</v>
      </c>
      <c r="AJ9" s="227" t="str">
        <f ca="1">Games!O22</f>
        <v>Cal Poly</v>
      </c>
      <c r="AK9" s="58">
        <f ca="1">Games!L22</f>
        <v>118</v>
      </c>
      <c r="AL9" s="46" t="e" vm="99">
        <f>_xlfn.XLOOKUP(AM9,Teams!$C:$C,Teams!$E:$E,,0,1)</f>
        <v>#VALUE!</v>
      </c>
      <c r="AM9" s="37" t="str">
        <f>Games!G22</f>
        <v>Butler</v>
      </c>
      <c r="AN9" s="27">
        <v>8</v>
      </c>
      <c r="AO9" s="17"/>
      <c r="AQ9" s="224"/>
    </row>
    <row r="10" spans="1:47" ht="10.5" customHeight="1" thickBot="1" x14ac:dyDescent="0.35">
      <c r="A10" s="242">
        <f>IF($AU$5=TRUE,A6+1,"")</f>
        <v>2</v>
      </c>
      <c r="B10" s="28"/>
      <c r="C10" s="38"/>
      <c r="D10" s="71"/>
      <c r="E10" s="47"/>
      <c r="F10" s="228"/>
      <c r="G10" s="221"/>
      <c r="H10" s="223"/>
      <c r="I10" s="24"/>
      <c r="J10" s="24"/>
      <c r="K10" s="50"/>
      <c r="L10" s="25"/>
      <c r="M10" s="25"/>
      <c r="O10" s="25"/>
      <c r="P10" s="25"/>
      <c r="R10" s="25"/>
      <c r="S10" s="25"/>
      <c r="T10" s="25"/>
      <c r="U10" s="75"/>
      <c r="V10" s="25"/>
      <c r="W10" s="25"/>
      <c r="X10" s="25"/>
      <c r="AA10" s="25"/>
      <c r="AD10" s="25"/>
      <c r="AE10" s="56"/>
      <c r="AG10" s="24"/>
      <c r="AH10" s="218"/>
      <c r="AI10" s="216"/>
      <c r="AJ10" s="228"/>
      <c r="AK10" s="55"/>
      <c r="AM10" s="39"/>
      <c r="AN10" s="28"/>
      <c r="AO10" s="229">
        <f>IF($AU$5=TRUE,AO6+1,"")</f>
        <v>18</v>
      </c>
      <c r="AQ10" s="224"/>
    </row>
    <row r="11" spans="1:47" ht="13.8" customHeight="1" thickBot="1" x14ac:dyDescent="0.35">
      <c r="A11" s="242"/>
      <c r="B11" s="27">
        <v>9</v>
      </c>
      <c r="C11" s="36" t="str">
        <f>Games!I6</f>
        <v>Alabama</v>
      </c>
      <c r="D11" s="70" t="e" vm="68">
        <f>_xlfn.XLOOKUP(C11,Teams!$C:$C,Teams!$E:$E,,0,1)</f>
        <v>#VALUE!</v>
      </c>
      <c r="E11" s="48">
        <f ca="1">Games!N6</f>
        <v>120</v>
      </c>
      <c r="F11" s="24"/>
      <c r="G11" s="24"/>
      <c r="I11" s="219">
        <f>IF($AU$5=TRUE,AJ63+1,"")</f>
        <v>49</v>
      </c>
      <c r="J11" s="15"/>
      <c r="K11" s="50"/>
      <c r="L11" s="233" t="str">
        <f ca="1">Games!O55</f>
        <v>Alcorn State</v>
      </c>
      <c r="M11" s="220" t="e" vm="72">
        <f ca="1">_xlfn.XLOOKUP(L11,Teams!$C:$C,Teams!$E:$E,,0,1)</f>
        <v>#VALUE!</v>
      </c>
      <c r="N11" s="225">
        <f ca="1">Games!L64</f>
        <v>93</v>
      </c>
      <c r="O11" s="25"/>
      <c r="P11" s="25"/>
      <c r="R11" s="25"/>
      <c r="S11" s="25"/>
      <c r="T11" s="206" t="e" vm="81">
        <f ca="1">_xlfn.XLOOKUP(S32,Teams!$C:$C,Teams!$E:$E,,0,1)</f>
        <v>#VALUE!</v>
      </c>
      <c r="U11" s="207"/>
      <c r="V11" s="208"/>
      <c r="W11" s="25"/>
      <c r="X11" s="25"/>
      <c r="AA11" s="25"/>
      <c r="AB11" s="225">
        <f ca="1">Games!L66</f>
        <v>118</v>
      </c>
      <c r="AC11" s="204" t="e" vm="100">
        <f ca="1">_xlfn.XLOOKUP(AD11,Teams!$C:$C,Teams!$E:$E,,0,1)</f>
        <v>#VALUE!</v>
      </c>
      <c r="AD11" s="227" t="str">
        <f ca="1">Games!O59</f>
        <v>Cal Poly</v>
      </c>
      <c r="AE11" s="56"/>
      <c r="AG11" s="219">
        <f>IF($AU$5=TRUE,I59+1,"")</f>
        <v>53</v>
      </c>
      <c r="AJ11" s="24"/>
      <c r="AK11" s="59">
        <f ca="1">Games!N22</f>
        <v>118</v>
      </c>
      <c r="AL11" s="46" t="e" vm="100">
        <f>_xlfn.XLOOKUP(AM11,Teams!$C:$C,Teams!$E:$E,,0,1)</f>
        <v>#VALUE!</v>
      </c>
      <c r="AM11" s="37" t="str">
        <f>Games!I22</f>
        <v>Cal Poly</v>
      </c>
      <c r="AN11" s="27">
        <v>9</v>
      </c>
      <c r="AO11" s="229"/>
      <c r="AQ11" s="224"/>
    </row>
    <row r="12" spans="1:47" ht="10.5" customHeight="1" thickBot="1" x14ac:dyDescent="0.35">
      <c r="A12" s="16"/>
      <c r="B12" s="28"/>
      <c r="C12" s="38"/>
      <c r="D12" s="71"/>
      <c r="F12" s="24"/>
      <c r="G12" s="24"/>
      <c r="I12" s="219"/>
      <c r="J12" s="15"/>
      <c r="K12" s="50"/>
      <c r="L12" s="234"/>
      <c r="M12" s="221"/>
      <c r="N12" s="226"/>
      <c r="O12" s="25"/>
      <c r="P12" s="25"/>
      <c r="R12" s="25"/>
      <c r="S12" s="25"/>
      <c r="T12" s="209"/>
      <c r="U12" s="210"/>
      <c r="V12" s="211"/>
      <c r="W12" s="25"/>
      <c r="X12" s="25"/>
      <c r="AA12" s="25"/>
      <c r="AB12" s="226"/>
      <c r="AC12" s="205"/>
      <c r="AD12" s="228"/>
      <c r="AE12" s="56"/>
      <c r="AG12" s="219"/>
      <c r="AJ12" s="24"/>
      <c r="AM12" s="39"/>
      <c r="AN12" s="28"/>
      <c r="AO12" s="17"/>
    </row>
    <row r="13" spans="1:47" ht="18.600000000000001" customHeight="1" thickBot="1" x14ac:dyDescent="0.35">
      <c r="A13" s="16"/>
      <c r="B13" s="27">
        <v>5</v>
      </c>
      <c r="C13" s="36" t="str">
        <f>Games!G7</f>
        <v>Alabama A&amp;M</v>
      </c>
      <c r="D13" s="70" t="e" vm="69">
        <f>_xlfn.XLOOKUP(C13,Teams!$C:$C,Teams!$E:$E,,0,1)</f>
        <v>#VALUE!</v>
      </c>
      <c r="E13" s="46">
        <f ca="1">Games!L7</f>
        <v>100</v>
      </c>
      <c r="F13" s="227" t="str">
        <f ca="1">Games!O7</f>
        <v>Alabama A&amp;M</v>
      </c>
      <c r="G13" s="220" t="e" vm="69">
        <f ca="1">_xlfn.XLOOKUP(F13,Teams!$C:$C,Teams!$E:$E,,0,1)</f>
        <v>#VALUE!</v>
      </c>
      <c r="H13" s="225">
        <f ca="1">Games!L39</f>
        <v>100</v>
      </c>
      <c r="I13" s="24"/>
      <c r="J13" s="24"/>
      <c r="K13" s="50"/>
      <c r="L13" s="25"/>
      <c r="M13" s="25"/>
      <c r="N13" s="49"/>
      <c r="O13" s="25"/>
      <c r="P13" s="25"/>
      <c r="R13" s="25"/>
      <c r="S13" s="25"/>
      <c r="T13" s="209"/>
      <c r="U13" s="210"/>
      <c r="V13" s="211"/>
      <c r="W13" s="25"/>
      <c r="X13" s="25"/>
      <c r="AA13" s="25"/>
      <c r="AB13" s="55"/>
      <c r="AD13" s="25"/>
      <c r="AE13" s="56"/>
      <c r="AG13" s="24"/>
      <c r="AH13" s="225">
        <f ca="1">Games!L47</f>
        <v>106</v>
      </c>
      <c r="AI13" s="204" t="e" vm="102">
        <f ca="1">_xlfn.XLOOKUP(AJ13,Teams!$C:$C,Teams!$E:$E,,0,1)</f>
        <v>#VALUE!</v>
      </c>
      <c r="AJ13" s="227" t="str">
        <f ca="1">Games!O23</f>
        <v>Cal State Fullerton</v>
      </c>
      <c r="AK13" s="58">
        <f ca="1">Games!L23</f>
        <v>98</v>
      </c>
      <c r="AL13" s="46" t="e" vm="101">
        <f>_xlfn.XLOOKUP(AM13,Teams!$C:$C,Teams!$E:$E,,0,1)</f>
        <v>#VALUE!</v>
      </c>
      <c r="AM13" s="37" t="str">
        <f>Games!G23</f>
        <v>Cal State Bakersfield</v>
      </c>
      <c r="AN13" s="27">
        <v>5</v>
      </c>
      <c r="AO13" s="17"/>
      <c r="AQ13" s="9"/>
    </row>
    <row r="14" spans="1:47" ht="10.5" customHeight="1" thickBot="1" x14ac:dyDescent="0.35">
      <c r="A14" s="219">
        <f>IF($AU$5=TRUE,A10+1,"")</f>
        <v>3</v>
      </c>
      <c r="B14" s="28"/>
      <c r="C14" s="38"/>
      <c r="D14" s="71"/>
      <c r="E14" s="49"/>
      <c r="F14" s="228"/>
      <c r="G14" s="221"/>
      <c r="H14" s="226"/>
      <c r="I14" s="24"/>
      <c r="J14" s="24"/>
      <c r="K14" s="50"/>
      <c r="L14" s="25"/>
      <c r="M14" s="25"/>
      <c r="N14" s="50"/>
      <c r="O14" s="25"/>
      <c r="P14" s="25"/>
      <c r="R14" s="25"/>
      <c r="S14" s="25"/>
      <c r="T14" s="209"/>
      <c r="U14" s="210"/>
      <c r="V14" s="211"/>
      <c r="W14" s="25"/>
      <c r="X14" s="25"/>
      <c r="AA14" s="25"/>
      <c r="AB14" s="56"/>
      <c r="AD14" s="25"/>
      <c r="AE14" s="56"/>
      <c r="AG14" s="24"/>
      <c r="AH14" s="226"/>
      <c r="AI14" s="205"/>
      <c r="AJ14" s="228"/>
      <c r="AK14" s="55"/>
      <c r="AM14" s="39"/>
      <c r="AN14" s="28"/>
      <c r="AO14" s="229">
        <f>IF($AU$5=TRUE,AO10+1,"")</f>
        <v>19</v>
      </c>
      <c r="AQ14" s="224"/>
    </row>
    <row r="15" spans="1:47" ht="13.8" customHeight="1" thickBot="1" x14ac:dyDescent="0.35">
      <c r="A15" s="219"/>
      <c r="B15" s="27">
        <v>12</v>
      </c>
      <c r="C15" s="36" t="str">
        <f>Games!I7</f>
        <v>Alabama State</v>
      </c>
      <c r="D15" s="70" t="e" vm="70">
        <f>_xlfn.XLOOKUP(C15,Teams!$C:$C,Teams!$E:$E,,0,1)</f>
        <v>#VALUE!</v>
      </c>
      <c r="E15" s="48">
        <f ca="1">Games!N7</f>
        <v>97</v>
      </c>
      <c r="F15" s="230">
        <f>IF($AU$5=TRUE,F7+1,"")</f>
        <v>34</v>
      </c>
      <c r="G15" s="14"/>
      <c r="H15" s="49"/>
      <c r="I15" s="233" t="str">
        <f ca="1">Games!O39</f>
        <v>Alcorn State</v>
      </c>
      <c r="J15" s="220" t="e" vm="72">
        <f ca="1">_xlfn.XLOOKUP(I15,Teams!$C:$C,Teams!$E:$E,,0,1)</f>
        <v>#VALUE!</v>
      </c>
      <c r="K15" s="222">
        <f ca="1">Games!N55</f>
        <v>113</v>
      </c>
      <c r="L15" s="25"/>
      <c r="M15" s="25"/>
      <c r="N15" s="50"/>
      <c r="O15" s="25"/>
      <c r="P15" s="25"/>
      <c r="R15" s="25"/>
      <c r="S15" s="25"/>
      <c r="T15" s="209"/>
      <c r="U15" s="210"/>
      <c r="V15" s="211"/>
      <c r="W15" s="25"/>
      <c r="X15" s="25"/>
      <c r="AA15" s="25"/>
      <c r="AB15" s="56"/>
      <c r="AD15" s="25"/>
      <c r="AE15" s="217">
        <f ca="1">Games!N59</f>
        <v>111</v>
      </c>
      <c r="AF15" s="204" t="e" vm="102">
        <f ca="1">_xlfn.XLOOKUP(AG15,Teams!$C:$C,Teams!$E:$E,,0,1)</f>
        <v>#VALUE!</v>
      </c>
      <c r="AG15" s="227" t="str">
        <f ca="1">Games!O47</f>
        <v>Cal State Fullerton</v>
      </c>
      <c r="AH15" s="55"/>
      <c r="AI15" s="51"/>
      <c r="AJ15" s="230">
        <f>IF($AU$5=TRUE,AJ7+1,"")</f>
        <v>42</v>
      </c>
      <c r="AK15" s="59">
        <f ca="1">Games!N23</f>
        <v>98</v>
      </c>
      <c r="AL15" s="46" t="e" vm="102">
        <f>_xlfn.XLOOKUP(AM15,Teams!$C:$C,Teams!$E:$E,,0,1)</f>
        <v>#VALUE!</v>
      </c>
      <c r="AM15" s="37" t="str">
        <f>Games!I23</f>
        <v>Cal State Fullerton</v>
      </c>
      <c r="AN15" s="27">
        <v>12</v>
      </c>
      <c r="AO15" s="229"/>
      <c r="AQ15" s="224"/>
    </row>
    <row r="16" spans="1:47" ht="10.5" customHeight="1" thickBot="1" x14ac:dyDescent="0.35">
      <c r="A16" s="16"/>
      <c r="B16" s="28"/>
      <c r="C16" s="38"/>
      <c r="D16" s="71"/>
      <c r="F16" s="219"/>
      <c r="G16" s="15"/>
      <c r="H16" s="50"/>
      <c r="I16" s="234"/>
      <c r="J16" s="221"/>
      <c r="K16" s="223"/>
      <c r="L16" s="25"/>
      <c r="M16" s="25"/>
      <c r="N16" s="50"/>
      <c r="O16" s="25"/>
      <c r="P16" s="25"/>
      <c r="R16" s="25"/>
      <c r="S16" s="25"/>
      <c r="T16" s="209"/>
      <c r="U16" s="210"/>
      <c r="V16" s="211"/>
      <c r="W16" s="25"/>
      <c r="X16" s="25"/>
      <c r="AA16" s="25"/>
      <c r="AB16" s="56"/>
      <c r="AD16" s="25"/>
      <c r="AE16" s="218"/>
      <c r="AF16" s="205"/>
      <c r="AG16" s="228"/>
      <c r="AH16" s="56"/>
      <c r="AJ16" s="219"/>
      <c r="AM16" s="39"/>
      <c r="AN16" s="28"/>
      <c r="AO16" s="17"/>
      <c r="AQ16" s="224"/>
    </row>
    <row r="17" spans="1:43" ht="18.600000000000001" customHeight="1" thickBot="1" x14ac:dyDescent="0.35">
      <c r="A17" s="16"/>
      <c r="B17" s="27">
        <v>4</v>
      </c>
      <c r="C17" s="36" t="str">
        <f>Games!G8</f>
        <v>Albany (NY)</v>
      </c>
      <c r="D17" s="70" t="e" vm="71">
        <f>_xlfn.XLOOKUP(C17,Teams!$C:$C,Teams!$E:$E,,0,1)</f>
        <v>#VALUE!</v>
      </c>
      <c r="E17" s="46">
        <f ca="1">Games!L8</f>
        <v>103</v>
      </c>
      <c r="F17" s="227" t="str">
        <f ca="1">Games!O8</f>
        <v>Alcorn State</v>
      </c>
      <c r="G17" s="220" t="e" vm="72">
        <f ca="1">_xlfn.XLOOKUP(F17,Teams!$C:$C,Teams!$E:$E,,0,1)</f>
        <v>#VALUE!</v>
      </c>
      <c r="H17" s="222">
        <f ca="1">Games!N39</f>
        <v>112</v>
      </c>
      <c r="I17" s="24"/>
      <c r="J17" s="24"/>
      <c r="L17" s="25"/>
      <c r="M17" s="25"/>
      <c r="N17" s="50"/>
      <c r="O17" s="25"/>
      <c r="P17" s="25"/>
      <c r="R17" s="25"/>
      <c r="S17" s="25"/>
      <c r="T17" s="209"/>
      <c r="U17" s="210"/>
      <c r="V17" s="211"/>
      <c r="W17" s="25"/>
      <c r="X17" s="25"/>
      <c r="AA17" s="25"/>
      <c r="AB17" s="56"/>
      <c r="AD17" s="25"/>
      <c r="AG17" s="24"/>
      <c r="AH17" s="217">
        <f ca="1">Games!N47</f>
        <v>101</v>
      </c>
      <c r="AI17" s="204" t="e" vm="103">
        <f ca="1">_xlfn.XLOOKUP(AJ17,Teams!$C:$C,Teams!$E:$E,,0,1)</f>
        <v>#VALUE!</v>
      </c>
      <c r="AJ17" s="227" t="str">
        <f ca="1">Games!O24</f>
        <v>Cal State Northridge</v>
      </c>
      <c r="AK17" s="58">
        <f ca="1">Games!L24</f>
        <v>110</v>
      </c>
      <c r="AL17" s="46" t="e" vm="103">
        <f>_xlfn.XLOOKUP(AM17,Teams!$C:$C,Teams!$E:$E,,0,1)</f>
        <v>#VALUE!</v>
      </c>
      <c r="AM17" s="37" t="str">
        <f>Games!G24</f>
        <v>Cal State Northridge</v>
      </c>
      <c r="AN17" s="27">
        <v>4</v>
      </c>
      <c r="AO17" s="17"/>
      <c r="AQ17" s="224"/>
    </row>
    <row r="18" spans="1:43" ht="10.5" customHeight="1" thickBot="1" x14ac:dyDescent="0.35">
      <c r="A18" s="219">
        <f>IF($AU$5=TRUE,A14+1,"")</f>
        <v>4</v>
      </c>
      <c r="B18" s="28"/>
      <c r="C18" s="38"/>
      <c r="D18" s="71"/>
      <c r="E18" s="49"/>
      <c r="F18" s="228"/>
      <c r="G18" s="221"/>
      <c r="H18" s="223"/>
      <c r="I18" s="24"/>
      <c r="J18" s="24"/>
      <c r="L18" s="25"/>
      <c r="M18" s="25"/>
      <c r="N18" s="50"/>
      <c r="O18" s="25"/>
      <c r="P18" s="25"/>
      <c r="R18" s="25"/>
      <c r="S18" s="25"/>
      <c r="T18" s="209"/>
      <c r="U18" s="210"/>
      <c r="V18" s="211"/>
      <c r="W18" s="25"/>
      <c r="X18" s="25"/>
      <c r="AA18" s="25"/>
      <c r="AB18" s="56"/>
      <c r="AD18" s="25"/>
      <c r="AG18" s="24"/>
      <c r="AH18" s="218"/>
      <c r="AI18" s="205"/>
      <c r="AJ18" s="228"/>
      <c r="AK18" s="55"/>
      <c r="AM18" s="39"/>
      <c r="AN18" s="28"/>
      <c r="AO18" s="229">
        <f>IF($AU$5=TRUE,AO14+1,"")</f>
        <v>20</v>
      </c>
      <c r="AQ18" s="224"/>
    </row>
    <row r="19" spans="1:43" ht="13.8" customHeight="1" thickBot="1" x14ac:dyDescent="0.45">
      <c r="A19" s="219"/>
      <c r="B19" s="27">
        <v>13</v>
      </c>
      <c r="C19" s="36" t="str">
        <f>Games!I8</f>
        <v>Alcorn State</v>
      </c>
      <c r="D19" s="70" t="e" vm="72">
        <f>_xlfn.XLOOKUP(C19,Teams!$C:$C,Teams!$E:$E,,0,1)</f>
        <v>#VALUE!</v>
      </c>
      <c r="E19" s="48">
        <f ca="1">Games!N8</f>
        <v>109</v>
      </c>
      <c r="F19" s="24"/>
      <c r="G19" s="24"/>
      <c r="I19" s="24"/>
      <c r="J19" s="24"/>
      <c r="K19" s="241" t="s">
        <v>15</v>
      </c>
      <c r="L19" s="241"/>
      <c r="M19" s="20"/>
      <c r="N19" s="50"/>
      <c r="O19" s="233" t="str">
        <f ca="1">Games!O64</f>
        <v>American</v>
      </c>
      <c r="P19" s="220" t="e" vm="73">
        <f ca="1">_xlfn.XLOOKUP(O19,Teams!$C:$C,Teams!$E:$E,,0,1)</f>
        <v>#VALUE!</v>
      </c>
      <c r="Q19" s="225">
        <f ca="1">Games!L69</f>
        <v>112</v>
      </c>
      <c r="R19" s="25"/>
      <c r="S19" s="25"/>
      <c r="T19" s="212"/>
      <c r="U19" s="213"/>
      <c r="V19" s="214"/>
      <c r="W19" s="25"/>
      <c r="X19" s="25"/>
      <c r="Y19" s="225">
        <f ca="1">Games!L70</f>
        <v>97</v>
      </c>
      <c r="Z19" s="204" t="e" vm="100">
        <f ca="1">_xlfn.XLOOKUP(AA19,Teams!$C:$C,Teams!$E:$E,,0,1)</f>
        <v>#VALUE!</v>
      </c>
      <c r="AA19" s="227" t="str">
        <f ca="1">Games!O66</f>
        <v>Cal Poly</v>
      </c>
      <c r="AB19" s="56"/>
      <c r="AD19" s="241" t="s">
        <v>3</v>
      </c>
      <c r="AE19" s="241"/>
      <c r="AF19" s="20"/>
      <c r="AG19" s="24"/>
      <c r="AJ19" s="24"/>
      <c r="AK19" s="59">
        <f ca="1">Games!N24</f>
        <v>108</v>
      </c>
      <c r="AL19" s="46" t="e" vm="104">
        <f>_xlfn.XLOOKUP(AM19,Teams!$C:$C,Teams!$E:$E,,0,1)</f>
        <v>#VALUE!</v>
      </c>
      <c r="AM19" s="37" t="str">
        <f>Games!I24</f>
        <v>California</v>
      </c>
      <c r="AN19" s="27">
        <v>13</v>
      </c>
      <c r="AO19" s="229"/>
      <c r="AQ19" s="224"/>
    </row>
    <row r="20" spans="1:43" ht="10.5" customHeight="1" thickBot="1" x14ac:dyDescent="0.45">
      <c r="A20" s="16"/>
      <c r="B20" s="28"/>
      <c r="C20" s="38"/>
      <c r="D20" s="71"/>
      <c r="F20" s="24"/>
      <c r="G20" s="24"/>
      <c r="I20" s="24"/>
      <c r="J20" s="24"/>
      <c r="K20" s="241"/>
      <c r="L20" s="241"/>
      <c r="M20" s="20"/>
      <c r="N20" s="50"/>
      <c r="O20" s="234"/>
      <c r="P20" s="221"/>
      <c r="Q20" s="226"/>
      <c r="R20" s="25"/>
      <c r="S20" s="25"/>
      <c r="T20" s="25"/>
      <c r="U20" s="75"/>
      <c r="V20" s="25"/>
      <c r="W20" s="25"/>
      <c r="X20" s="25"/>
      <c r="Y20" s="226"/>
      <c r="Z20" s="205"/>
      <c r="AA20" s="228"/>
      <c r="AB20" s="56"/>
      <c r="AD20" s="241"/>
      <c r="AE20" s="241"/>
      <c r="AF20" s="20"/>
      <c r="AG20" s="24"/>
      <c r="AJ20" s="24"/>
      <c r="AM20" s="39"/>
      <c r="AN20" s="28"/>
      <c r="AO20" s="17"/>
      <c r="AQ20" s="10"/>
    </row>
    <row r="21" spans="1:43" ht="18.600000000000001" customHeight="1" thickBot="1" x14ac:dyDescent="0.35">
      <c r="A21" s="219">
        <f>IF($AU$5=TRUE,A18+1,"")</f>
        <v>5</v>
      </c>
      <c r="B21" s="27">
        <v>6</v>
      </c>
      <c r="C21" s="36" t="str">
        <f>Games!G9</f>
        <v>American</v>
      </c>
      <c r="D21" s="70" t="e" vm="73">
        <f>_xlfn.XLOOKUP(C21,Teams!$C:$C,Teams!$E:$E,,0,1)</f>
        <v>#VALUE!</v>
      </c>
      <c r="E21" s="46">
        <f ca="1">Games!L9</f>
        <v>107</v>
      </c>
      <c r="F21" s="227" t="str">
        <f ca="1">Games!O9</f>
        <v>American</v>
      </c>
      <c r="G21" s="220" t="e" vm="73">
        <f ca="1">_xlfn.XLOOKUP(F21,Teams!$C:$C,Teams!$E:$E,,0,1)</f>
        <v>#VALUE!</v>
      </c>
      <c r="H21" s="225">
        <f ca="1">Games!L40</f>
        <v>103</v>
      </c>
      <c r="I21" s="24"/>
      <c r="J21" s="24"/>
      <c r="L21" s="18">
        <f>IF($AU$5=TRUE,AG59+1,"")</f>
        <v>57</v>
      </c>
      <c r="M21" s="18"/>
      <c r="N21" s="50"/>
      <c r="O21" s="25"/>
      <c r="P21" s="25"/>
      <c r="Q21" s="49"/>
      <c r="R21" s="25"/>
      <c r="S21" s="25"/>
      <c r="T21" s="25"/>
      <c r="U21" s="75"/>
      <c r="V21" s="25"/>
      <c r="W21" s="25"/>
      <c r="X21" s="25"/>
      <c r="Y21" s="55"/>
      <c r="AA21" s="25"/>
      <c r="AB21" s="56"/>
      <c r="AD21" s="16">
        <f>IF($AU$5=TRUE,L53+1,"")</f>
        <v>59</v>
      </c>
      <c r="AG21" s="24"/>
      <c r="AH21" s="225">
        <f ca="1">Games!L48</f>
        <v>91</v>
      </c>
      <c r="AI21" s="204" t="e" vm="106">
        <f ca="1">_xlfn.XLOOKUP(AJ21,Teams!$C:$C,Teams!$E:$E,,0,1)</f>
        <v>#VALUE!</v>
      </c>
      <c r="AJ21" s="227" t="str">
        <f ca="1">Games!O25</f>
        <v>Campbell</v>
      </c>
      <c r="AK21" s="58">
        <f ca="1">Games!L25</f>
        <v>104</v>
      </c>
      <c r="AL21" s="46" t="e" vm="105">
        <f>_xlfn.XLOOKUP(AM21,Teams!$C:$C,Teams!$E:$E,,0,1)</f>
        <v>#VALUE!</v>
      </c>
      <c r="AM21" s="37" t="str">
        <f>Games!G25</f>
        <v>California Baptist</v>
      </c>
      <c r="AN21" s="27">
        <v>6</v>
      </c>
      <c r="AO21" s="17"/>
      <c r="AQ21" s="9"/>
    </row>
    <row r="22" spans="1:43" ht="10.5" customHeight="1" thickBot="1" x14ac:dyDescent="0.35">
      <c r="A22" s="219"/>
      <c r="B22" s="28"/>
      <c r="C22" s="38"/>
      <c r="D22" s="71"/>
      <c r="E22" s="49"/>
      <c r="F22" s="228"/>
      <c r="G22" s="221"/>
      <c r="H22" s="226"/>
      <c r="I22" s="24"/>
      <c r="J22" s="24"/>
      <c r="L22" s="25"/>
      <c r="M22" s="25"/>
      <c r="N22" s="50"/>
      <c r="O22" s="25"/>
      <c r="P22" s="25"/>
      <c r="Q22" s="50"/>
      <c r="R22" s="25"/>
      <c r="S22" s="25"/>
      <c r="T22" s="25"/>
      <c r="U22" s="75"/>
      <c r="V22" s="25"/>
      <c r="W22" s="25"/>
      <c r="X22" s="25"/>
      <c r="Y22" s="56"/>
      <c r="AA22" s="25"/>
      <c r="AB22" s="56"/>
      <c r="AD22" s="29"/>
      <c r="AG22" s="24"/>
      <c r="AH22" s="226"/>
      <c r="AI22" s="205"/>
      <c r="AJ22" s="228"/>
      <c r="AK22" s="55"/>
      <c r="AM22" s="39"/>
      <c r="AN22" s="28"/>
      <c r="AO22" s="229">
        <f>IF($AU$5=TRUE,AO18+1,"")</f>
        <v>21</v>
      </c>
      <c r="AQ22" s="224"/>
    </row>
    <row r="23" spans="1:43" ht="13.8" customHeight="1" thickBot="1" x14ac:dyDescent="0.35">
      <c r="A23" s="16"/>
      <c r="B23" s="27">
        <v>11</v>
      </c>
      <c r="C23" s="40" t="str">
        <f>Games!I9</f>
        <v>Appalachian State</v>
      </c>
      <c r="D23" s="70" t="e" vm="74">
        <f>_xlfn.XLOOKUP(C23,Teams!$C:$C,Teams!$E:$E,,0,1)</f>
        <v>#VALUE!</v>
      </c>
      <c r="E23" s="48">
        <f ca="1">Games!N9</f>
        <v>104</v>
      </c>
      <c r="F23" s="230">
        <f>IF($AU$5=TRUE,F15+1,"")</f>
        <v>35</v>
      </c>
      <c r="G23" s="14"/>
      <c r="H23" s="49"/>
      <c r="I23" s="233" t="str">
        <f ca="1">Games!O40</f>
        <v>American</v>
      </c>
      <c r="J23" s="220" t="e" vm="73">
        <f ca="1">_xlfn.XLOOKUP(I23,Teams!$C:$C,Teams!$E:$E,,0,1)</f>
        <v>#VALUE!</v>
      </c>
      <c r="K23" s="225">
        <f ca="1">Games!L56</f>
        <v>104</v>
      </c>
      <c r="L23" s="25"/>
      <c r="M23" s="25"/>
      <c r="N23" s="50"/>
      <c r="O23" s="25"/>
      <c r="P23" s="25"/>
      <c r="Q23" s="50"/>
      <c r="R23" s="25"/>
      <c r="S23" s="25"/>
      <c r="T23" s="25"/>
      <c r="U23" s="75"/>
      <c r="V23" s="25"/>
      <c r="W23" s="25"/>
      <c r="X23" s="25"/>
      <c r="Y23" s="56"/>
      <c r="AA23" s="25"/>
      <c r="AB23" s="56"/>
      <c r="AD23" s="25"/>
      <c r="AE23" s="225">
        <f ca="1">Games!L60</f>
        <v>91</v>
      </c>
      <c r="AF23" s="204" t="e" vm="108">
        <f ca="1">_xlfn.XLOOKUP(AG23,Teams!$C:$C,Teams!$E:$E,,0,1)</f>
        <v>#VALUE!</v>
      </c>
      <c r="AG23" s="227" t="str">
        <f ca="1">Games!O48</f>
        <v>Central Arkansas</v>
      </c>
      <c r="AH23" s="55"/>
      <c r="AI23" s="51"/>
      <c r="AJ23" s="230">
        <f>IF($AU$5=TRUE,AJ15+1,"")</f>
        <v>43</v>
      </c>
      <c r="AK23" s="59">
        <f ca="1">Games!N25</f>
        <v>109</v>
      </c>
      <c r="AL23" s="46" t="e" vm="106">
        <f>_xlfn.XLOOKUP(AM23,Teams!$C:$C,Teams!$E:$E,,0,1)</f>
        <v>#VALUE!</v>
      </c>
      <c r="AM23" s="37" t="str">
        <f>Games!I25</f>
        <v>Campbell</v>
      </c>
      <c r="AN23" s="27">
        <v>11</v>
      </c>
      <c r="AO23" s="229"/>
      <c r="AQ23" s="224"/>
    </row>
    <row r="24" spans="1:43" ht="10.5" customHeight="1" thickBot="1" x14ac:dyDescent="0.35">
      <c r="A24" s="16"/>
      <c r="B24" s="28"/>
      <c r="C24" s="38"/>
      <c r="D24" s="71"/>
      <c r="F24" s="219"/>
      <c r="G24" s="15"/>
      <c r="H24" s="50"/>
      <c r="I24" s="234"/>
      <c r="J24" s="221"/>
      <c r="K24" s="226"/>
      <c r="L24" s="25"/>
      <c r="M24" s="25"/>
      <c r="N24" s="50"/>
      <c r="O24" s="25"/>
      <c r="P24" s="25"/>
      <c r="Q24" s="50"/>
      <c r="R24" s="25"/>
      <c r="S24" s="25"/>
      <c r="T24" s="25"/>
      <c r="U24" s="75"/>
      <c r="V24" s="25"/>
      <c r="W24" s="25"/>
      <c r="X24" s="25"/>
      <c r="Y24" s="56"/>
      <c r="AA24" s="25"/>
      <c r="AB24" s="56"/>
      <c r="AD24" s="25"/>
      <c r="AE24" s="226"/>
      <c r="AF24" s="205"/>
      <c r="AG24" s="228"/>
      <c r="AH24" s="56"/>
      <c r="AJ24" s="219"/>
      <c r="AM24" s="39"/>
      <c r="AN24" s="28"/>
      <c r="AO24" s="17"/>
      <c r="AQ24" s="224"/>
    </row>
    <row r="25" spans="1:43" ht="18.600000000000001" customHeight="1" thickBot="1" x14ac:dyDescent="0.35">
      <c r="A25" s="16"/>
      <c r="B25" s="27">
        <v>3</v>
      </c>
      <c r="C25" s="36" t="str">
        <f>Games!G10</f>
        <v>Arizona</v>
      </c>
      <c r="D25" s="70" t="e" vm="75">
        <f>_xlfn.XLOOKUP(C25,Teams!$C:$C,Teams!$E:$E,,0,1)</f>
        <v>#VALUE!</v>
      </c>
      <c r="E25" s="46">
        <f ca="1">Games!L10</f>
        <v>117</v>
      </c>
      <c r="F25" s="227" t="str">
        <f ca="1">Games!O10</f>
        <v>Arizona</v>
      </c>
      <c r="G25" s="220" t="e" vm="75">
        <f ca="1">_xlfn.XLOOKUP(F25,Teams!$C:$C,Teams!$E:$E,,0,1)</f>
        <v>#VALUE!</v>
      </c>
      <c r="H25" s="222">
        <f ca="1">Games!N40</f>
        <v>97</v>
      </c>
      <c r="I25" s="24"/>
      <c r="J25" s="24"/>
      <c r="K25" s="49"/>
      <c r="L25" s="25"/>
      <c r="M25" s="25"/>
      <c r="N25" s="50"/>
      <c r="O25" s="25"/>
      <c r="P25" s="25"/>
      <c r="Q25" s="50"/>
      <c r="R25" s="25"/>
      <c r="S25" s="25"/>
      <c r="T25" s="25"/>
      <c r="U25" s="75"/>
      <c r="V25" s="25"/>
      <c r="W25" s="25"/>
      <c r="X25" s="25"/>
      <c r="Y25" s="56"/>
      <c r="AA25" s="25"/>
      <c r="AB25" s="56"/>
      <c r="AD25" s="25"/>
      <c r="AE25" s="55"/>
      <c r="AG25" s="24"/>
      <c r="AH25" s="217">
        <f ca="1">Games!N48</f>
        <v>112</v>
      </c>
      <c r="AI25" s="204" t="e" vm="108">
        <f ca="1">_xlfn.XLOOKUP(AJ25,Teams!$C:$C,Teams!$E:$E,,0,1)</f>
        <v>#VALUE!</v>
      </c>
      <c r="AJ25" s="227" t="str">
        <f ca="1">Games!O26</f>
        <v>Central Arkansas</v>
      </c>
      <c r="AK25" s="58">
        <f ca="1">Games!L26</f>
        <v>92</v>
      </c>
      <c r="AL25" s="46" t="e" vm="107">
        <f>_xlfn.XLOOKUP(AM25,Teams!$C:$C,Teams!$E:$E,,0,1)</f>
        <v>#VALUE!</v>
      </c>
      <c r="AM25" s="37" t="str">
        <f>Games!G26</f>
        <v>Canisius</v>
      </c>
      <c r="AN25" s="27">
        <v>3</v>
      </c>
      <c r="AO25" s="17"/>
      <c r="AQ25" s="224"/>
    </row>
    <row r="26" spans="1:43" ht="10.5" customHeight="1" thickBot="1" x14ac:dyDescent="0.35">
      <c r="A26" s="219">
        <f>IF($AU$5=TRUE,A21+1,"")</f>
        <v>6</v>
      </c>
      <c r="B26" s="28"/>
      <c r="C26" s="38"/>
      <c r="D26" s="71"/>
      <c r="E26" s="49"/>
      <c r="F26" s="228"/>
      <c r="G26" s="221"/>
      <c r="H26" s="223"/>
      <c r="I26" s="24"/>
      <c r="J26" s="24"/>
      <c r="K26" s="50"/>
      <c r="L26" s="25"/>
      <c r="M26" s="25"/>
      <c r="N26" s="50"/>
      <c r="O26" s="25"/>
      <c r="P26" s="25"/>
      <c r="Q26" s="50"/>
      <c r="R26" s="25"/>
      <c r="S26" s="25"/>
      <c r="T26" s="53"/>
      <c r="U26" s="76"/>
      <c r="V26" s="53"/>
      <c r="W26" s="25"/>
      <c r="X26" s="25"/>
      <c r="Y26" s="56"/>
      <c r="AA26" s="25"/>
      <c r="AB26" s="56"/>
      <c r="AD26" s="25"/>
      <c r="AE26" s="56"/>
      <c r="AG26" s="24"/>
      <c r="AH26" s="218"/>
      <c r="AI26" s="205"/>
      <c r="AJ26" s="228"/>
      <c r="AK26" s="55"/>
      <c r="AM26" s="39"/>
      <c r="AN26" s="28"/>
      <c r="AO26" s="229">
        <f>IF($AU$5=TRUE,AO22+1,"")</f>
        <v>22</v>
      </c>
      <c r="AQ26" s="224"/>
    </row>
    <row r="27" spans="1:43" ht="13.8" customHeight="1" thickBot="1" x14ac:dyDescent="0.35">
      <c r="A27" s="219"/>
      <c r="B27" s="27">
        <v>14</v>
      </c>
      <c r="C27" s="36" t="str">
        <f>Games!I10</f>
        <v>Arizona State</v>
      </c>
      <c r="D27" s="70" t="e" vm="76">
        <f>_xlfn.XLOOKUP(C27,Teams!$C:$C,Teams!$E:$E,,0,1)</f>
        <v>#VALUE!</v>
      </c>
      <c r="E27" s="48">
        <f ca="1">Games!N10</f>
        <v>103</v>
      </c>
      <c r="F27" s="24"/>
      <c r="G27" s="24"/>
      <c r="I27" s="219">
        <f>IF($AU$5=TRUE,I11+1,"")</f>
        <v>50</v>
      </c>
      <c r="J27" s="15"/>
      <c r="K27" s="50"/>
      <c r="L27" s="233" t="str">
        <f ca="1">Games!O56</f>
        <v>American</v>
      </c>
      <c r="M27" s="220" t="e" vm="73">
        <f ca="1">_xlfn.XLOOKUP(L27,Teams!$C:$C,Teams!$E:$E,,0,1)</f>
        <v>#VALUE!</v>
      </c>
      <c r="N27" s="222">
        <f ca="1">Games!N64</f>
        <v>109</v>
      </c>
      <c r="O27" s="25"/>
      <c r="P27" s="25"/>
      <c r="Q27" s="50"/>
      <c r="R27" s="233" t="str">
        <f ca="1">Games!O69</f>
        <v>Auburn</v>
      </c>
      <c r="S27" s="227"/>
      <c r="T27" s="227"/>
      <c r="U27" s="237" t="e" vm="81">
        <f ca="1">_xlfn.XLOOKUP(R27,Teams!$C:$C,Teams!$E:$E,,0,1)</f>
        <v>#VALUE!</v>
      </c>
      <c r="V27" s="244">
        <f ca="1">Games!L72</f>
        <v>119</v>
      </c>
      <c r="W27" s="24"/>
      <c r="X27" s="25"/>
      <c r="Y27" s="56"/>
      <c r="AA27" s="25"/>
      <c r="AB27" s="217">
        <f ca="1">Games!N66</f>
        <v>117</v>
      </c>
      <c r="AC27" s="204" t="e" vm="110">
        <f ca="1">_xlfn.XLOOKUP(AD27,Teams!$C:$C,Teams!$E:$E,,0,1)</f>
        <v>#VALUE!</v>
      </c>
      <c r="AD27" s="227" t="str">
        <f ca="1">Games!O60</f>
        <v>Central Michigan</v>
      </c>
      <c r="AE27" s="56"/>
      <c r="AG27" s="219">
        <f>IF($AU$5=TRUE,AG11+1,"")</f>
        <v>54</v>
      </c>
      <c r="AJ27" s="24"/>
      <c r="AK27" s="59">
        <f ca="1">Games!N26</f>
        <v>98</v>
      </c>
      <c r="AL27" s="46" t="e" vm="108">
        <f>_xlfn.XLOOKUP(AM27,Teams!$C:$C,Teams!$E:$E,,0,1)</f>
        <v>#VALUE!</v>
      </c>
      <c r="AM27" s="37" t="str">
        <f>Games!I26</f>
        <v>Central Arkansas</v>
      </c>
      <c r="AN27" s="27">
        <v>14</v>
      </c>
      <c r="AO27" s="229"/>
      <c r="AQ27" s="224"/>
    </row>
    <row r="28" spans="1:43" ht="10.5" customHeight="1" thickBot="1" x14ac:dyDescent="0.35">
      <c r="A28" s="16"/>
      <c r="B28" s="28"/>
      <c r="C28" s="38"/>
      <c r="D28" s="71"/>
      <c r="F28" s="24"/>
      <c r="G28" s="24"/>
      <c r="I28" s="219"/>
      <c r="J28" s="15"/>
      <c r="K28" s="50"/>
      <c r="L28" s="234"/>
      <c r="M28" s="221"/>
      <c r="N28" s="223"/>
      <c r="O28" s="25"/>
      <c r="P28" s="25"/>
      <c r="Q28" s="50"/>
      <c r="R28" s="234"/>
      <c r="S28" s="228"/>
      <c r="T28" s="228"/>
      <c r="U28" s="238"/>
      <c r="V28" s="245"/>
      <c r="W28" s="24"/>
      <c r="X28" s="25"/>
      <c r="Y28" s="56"/>
      <c r="AA28" s="25"/>
      <c r="AB28" s="218"/>
      <c r="AC28" s="205"/>
      <c r="AD28" s="228"/>
      <c r="AE28" s="56"/>
      <c r="AG28" s="219"/>
      <c r="AJ28" s="24"/>
      <c r="AM28" s="39"/>
      <c r="AN28" s="28"/>
      <c r="AO28" s="17"/>
    </row>
    <row r="29" spans="1:43" ht="18.600000000000001" customHeight="1" thickBot="1" x14ac:dyDescent="0.35">
      <c r="A29" s="16"/>
      <c r="B29" s="27">
        <v>7</v>
      </c>
      <c r="C29" s="36" t="str">
        <f>Games!G11</f>
        <v>Arkansas</v>
      </c>
      <c r="D29" s="70" t="e" vm="77">
        <f>_xlfn.XLOOKUP(C29,Teams!$C:$C,Teams!$E:$E,,0,1)</f>
        <v>#VALUE!</v>
      </c>
      <c r="E29" s="46">
        <f ca="1">Games!L11</f>
        <v>99</v>
      </c>
      <c r="F29" s="227" t="str">
        <f ca="1">Games!O11</f>
        <v>Arkansas State</v>
      </c>
      <c r="G29" s="220" t="e" vm="78">
        <f ca="1">_xlfn.XLOOKUP(F29,Teams!$C:$C,Teams!$E:$E,,0,1)</f>
        <v>#VALUE!</v>
      </c>
      <c r="H29" s="225">
        <f ca="1">Games!L41</f>
        <v>117</v>
      </c>
      <c r="I29" s="24"/>
      <c r="J29" s="24"/>
      <c r="K29" s="50"/>
      <c r="L29" s="25"/>
      <c r="M29" s="25"/>
      <c r="O29" s="25"/>
      <c r="P29" s="25"/>
      <c r="Q29" s="50"/>
      <c r="R29" s="25"/>
      <c r="S29" s="25"/>
      <c r="T29" s="53"/>
      <c r="U29" s="76"/>
      <c r="V29" s="53"/>
      <c r="W29" s="25"/>
      <c r="X29" s="25"/>
      <c r="Y29" s="56"/>
      <c r="AA29" s="25"/>
      <c r="AD29" s="25"/>
      <c r="AE29" s="56"/>
      <c r="AG29" s="24"/>
      <c r="AH29" s="225">
        <f ca="1">Games!L49</f>
        <v>92</v>
      </c>
      <c r="AI29" s="204" t="e" vm="110">
        <f ca="1">_xlfn.XLOOKUP(AJ29,Teams!$C:$C,Teams!$E:$E,,0,1)</f>
        <v>#VALUE!</v>
      </c>
      <c r="AJ29" s="227" t="str">
        <f ca="1">Games!O27</f>
        <v>Central Michigan</v>
      </c>
      <c r="AK29" s="58">
        <f ca="1">Games!L27</f>
        <v>93</v>
      </c>
      <c r="AL29" s="46" t="e" vm="109">
        <f>_xlfn.XLOOKUP(AM29,Teams!$C:$C,Teams!$E:$E,,0,1)</f>
        <v>#VALUE!</v>
      </c>
      <c r="AM29" s="37" t="str">
        <f>Games!G27</f>
        <v>Central Connecticut State</v>
      </c>
      <c r="AN29" s="27">
        <v>7</v>
      </c>
      <c r="AO29" s="17"/>
      <c r="AP29" s="11" t="s">
        <v>17</v>
      </c>
      <c r="AQ29" s="12" t="s">
        <v>16</v>
      </c>
    </row>
    <row r="30" spans="1:43" ht="10.199999999999999" customHeight="1" thickBot="1" x14ac:dyDescent="0.35">
      <c r="A30" s="219">
        <f>IF($AU$5=TRUE,A26+1,"")</f>
        <v>7</v>
      </c>
      <c r="B30" s="28"/>
      <c r="C30" s="38"/>
      <c r="D30" s="71"/>
      <c r="E30" s="49"/>
      <c r="F30" s="228"/>
      <c r="G30" s="221"/>
      <c r="H30" s="226"/>
      <c r="I30" s="24"/>
      <c r="J30" s="24"/>
      <c r="K30" s="50"/>
      <c r="L30" s="25"/>
      <c r="M30" s="25"/>
      <c r="O30" s="25"/>
      <c r="P30" s="25"/>
      <c r="Q30" s="50"/>
      <c r="R30" s="25"/>
      <c r="S30" s="25"/>
      <c r="T30" s="53"/>
      <c r="U30" s="76"/>
      <c r="V30" s="53"/>
      <c r="W30" s="25"/>
      <c r="X30" s="25"/>
      <c r="Y30" s="56"/>
      <c r="AA30" s="25"/>
      <c r="AD30" s="25"/>
      <c r="AE30" s="56"/>
      <c r="AG30" s="24"/>
      <c r="AH30" s="226"/>
      <c r="AI30" s="205"/>
      <c r="AJ30" s="228"/>
      <c r="AK30" s="55"/>
      <c r="AM30" s="39"/>
      <c r="AN30" s="28"/>
      <c r="AO30" s="229">
        <f>IF($AU$5=TRUE,AO26+1,"")</f>
        <v>23</v>
      </c>
    </row>
    <row r="31" spans="1:43" ht="14.4" customHeight="1" thickBot="1" x14ac:dyDescent="0.35">
      <c r="A31" s="219"/>
      <c r="B31" s="27">
        <v>10</v>
      </c>
      <c r="C31" s="36" t="str">
        <f>Games!I14</f>
        <v>Baylor</v>
      </c>
      <c r="D31" s="70" t="e" vm="84">
        <f>_xlfn.XLOOKUP(C31,Teams!$C:$C,Teams!$E:$E,,0,1)</f>
        <v>#VALUE!</v>
      </c>
      <c r="E31" s="48">
        <f ca="1">Games!N11</f>
        <v>102</v>
      </c>
      <c r="F31" s="230">
        <f>IF($AU$5=TRUE,F23+1,"")</f>
        <v>36</v>
      </c>
      <c r="G31" s="14"/>
      <c r="H31" s="49"/>
      <c r="I31" s="233" t="str">
        <f ca="1">Games!O41</f>
        <v>Arkansas State</v>
      </c>
      <c r="J31" s="220" t="e" vm="78">
        <f ca="1">_xlfn.XLOOKUP(I31,Teams!$C:$C,Teams!$E:$E,,0,1)</f>
        <v>#VALUE!</v>
      </c>
      <c r="K31" s="222">
        <f ca="1">Games!N56</f>
        <v>96</v>
      </c>
      <c r="L31" s="25"/>
      <c r="M31" s="25"/>
      <c r="O31" s="25"/>
      <c r="P31" s="25"/>
      <c r="Q31" s="50"/>
      <c r="R31" s="4"/>
      <c r="S31" s="210" t="s">
        <v>0</v>
      </c>
      <c r="T31" s="210"/>
      <c r="U31" s="210"/>
      <c r="V31" s="210"/>
      <c r="W31" s="210"/>
      <c r="X31" s="5"/>
      <c r="Y31" s="56"/>
      <c r="AA31" s="25"/>
      <c r="AD31" s="25"/>
      <c r="AE31" s="217">
        <f ca="1">Games!N60</f>
        <v>115</v>
      </c>
      <c r="AF31" s="204" t="e" vm="110">
        <f ca="1">_xlfn.XLOOKUP(AG31,Teams!$C:$C,Teams!$E:$E,,0,1)</f>
        <v>#VALUE!</v>
      </c>
      <c r="AG31" s="227" t="str">
        <f ca="1">Games!O49</f>
        <v>Central Michigan</v>
      </c>
      <c r="AH31" s="55"/>
      <c r="AI31" s="51"/>
      <c r="AJ31" s="230">
        <f>IF($AU$5=TRUE,AJ23+1,"")</f>
        <v>44</v>
      </c>
      <c r="AK31" s="59">
        <f ca="1">Games!N27</f>
        <v>94</v>
      </c>
      <c r="AL31" s="46" t="e" vm="110">
        <f>_xlfn.XLOOKUP(AM31,Teams!$C:$C,Teams!$E:$E,,0,1)</f>
        <v>#VALUE!</v>
      </c>
      <c r="AM31" s="37" t="str">
        <f>Games!I27</f>
        <v>Central Michigan</v>
      </c>
      <c r="AN31" s="27">
        <v>10</v>
      </c>
      <c r="AO31" s="229"/>
    </row>
    <row r="32" spans="1:43" ht="10.5" customHeight="1" thickBot="1" x14ac:dyDescent="0.35">
      <c r="A32" s="16"/>
      <c r="B32" s="28"/>
      <c r="C32" s="38"/>
      <c r="D32" s="71"/>
      <c r="F32" s="219"/>
      <c r="G32" s="15"/>
      <c r="H32" s="50"/>
      <c r="I32" s="234"/>
      <c r="J32" s="221"/>
      <c r="K32" s="223"/>
      <c r="L32" s="25"/>
      <c r="M32" s="25"/>
      <c r="O32" s="25"/>
      <c r="P32" s="25"/>
      <c r="Q32" s="50"/>
      <c r="R32" s="30"/>
      <c r="S32" s="246" t="str">
        <f ca="1">Games!O72</f>
        <v>Auburn</v>
      </c>
      <c r="T32" s="247"/>
      <c r="U32" s="247"/>
      <c r="V32" s="247"/>
      <c r="W32" s="248"/>
      <c r="X32" s="31"/>
      <c r="Y32" s="56"/>
      <c r="AA32" s="25"/>
      <c r="AD32" s="25"/>
      <c r="AE32" s="218"/>
      <c r="AF32" s="205"/>
      <c r="AG32" s="228"/>
      <c r="AH32" s="56"/>
      <c r="AJ32" s="219"/>
      <c r="AM32" s="39"/>
      <c r="AN32" s="28"/>
      <c r="AO32" s="17"/>
    </row>
    <row r="33" spans="1:43" ht="18.600000000000001" customHeight="1" thickBot="1" x14ac:dyDescent="0.35">
      <c r="A33" s="16"/>
      <c r="B33" s="27">
        <v>2</v>
      </c>
      <c r="C33" s="36" t="str">
        <f>Games!G12</f>
        <v>Arkansas-Pine Bluff</v>
      </c>
      <c r="D33" s="70" t="e" vm="79">
        <f>_xlfn.XLOOKUP(C33,Teams!$C:$C,Teams!$E:$E,,0,1)</f>
        <v>#VALUE!</v>
      </c>
      <c r="E33" s="46">
        <f ca="1">Games!L12</f>
        <v>104</v>
      </c>
      <c r="F33" s="227" t="str">
        <f ca="1">Games!O12</f>
        <v>Army</v>
      </c>
      <c r="G33" s="220" t="e" vm="80">
        <f ca="1">_xlfn.XLOOKUP(F33,Teams!$C:$C,Teams!$E:$E,,0,1)</f>
        <v>#VALUE!</v>
      </c>
      <c r="H33" s="222">
        <f ca="1">Games!N41</f>
        <v>112</v>
      </c>
      <c r="I33" s="24"/>
      <c r="J33" s="24"/>
      <c r="L33" s="25"/>
      <c r="M33" s="25"/>
      <c r="O33" s="25"/>
      <c r="P33" s="25"/>
      <c r="Q33" s="50"/>
      <c r="R33" s="30"/>
      <c r="S33" s="249"/>
      <c r="T33" s="250"/>
      <c r="U33" s="250"/>
      <c r="V33" s="250"/>
      <c r="W33" s="251"/>
      <c r="X33" s="31"/>
      <c r="Y33" s="56"/>
      <c r="AA33" s="25"/>
      <c r="AD33" s="25"/>
      <c r="AG33" s="24"/>
      <c r="AH33" s="217">
        <f ca="1">Games!N49</f>
        <v>91</v>
      </c>
      <c r="AI33" s="204" t="e" vm="112">
        <f ca="1">_xlfn.XLOOKUP(AJ33,Teams!$C:$C,Teams!$E:$E,,0,1)</f>
        <v>#VALUE!</v>
      </c>
      <c r="AJ33" s="227" t="str">
        <f ca="1">Games!O28</f>
        <v>Charlotte</v>
      </c>
      <c r="AK33" s="58">
        <f ca="1">Games!L28</f>
        <v>107</v>
      </c>
      <c r="AL33" s="46" t="e" vm="111">
        <f>_xlfn.XLOOKUP(AM33,Teams!$C:$C,Teams!$E:$E,,0,1)</f>
        <v>#VALUE!</v>
      </c>
      <c r="AM33" s="37" t="str">
        <f>Games!G28</f>
        <v>Charleston Southern</v>
      </c>
      <c r="AN33" s="27">
        <v>2</v>
      </c>
      <c r="AO33" s="17"/>
      <c r="AQ33" s="9"/>
    </row>
    <row r="34" spans="1:43" ht="10.5" customHeight="1" thickBot="1" x14ac:dyDescent="0.35">
      <c r="A34" s="219">
        <f>IF($AU$5=TRUE,A30+1,"")</f>
        <v>8</v>
      </c>
      <c r="B34" s="28"/>
      <c r="C34" s="38"/>
      <c r="D34" s="71"/>
      <c r="E34" s="49"/>
      <c r="F34" s="228"/>
      <c r="G34" s="221"/>
      <c r="H34" s="223"/>
      <c r="I34" s="24"/>
      <c r="J34" s="24"/>
      <c r="L34" s="25"/>
      <c r="M34" s="25"/>
      <c r="O34" s="25"/>
      <c r="P34" s="25"/>
      <c r="Q34" s="50"/>
      <c r="R34" s="25"/>
      <c r="S34" s="25"/>
      <c r="T34" s="53"/>
      <c r="U34" s="76"/>
      <c r="V34" s="53"/>
      <c r="W34" s="25"/>
      <c r="X34" s="25"/>
      <c r="Y34" s="56"/>
      <c r="AA34" s="25"/>
      <c r="AD34" s="25"/>
      <c r="AG34" s="24"/>
      <c r="AH34" s="218"/>
      <c r="AI34" s="205"/>
      <c r="AJ34" s="228"/>
      <c r="AK34" s="55"/>
      <c r="AM34" s="39"/>
      <c r="AN34" s="28"/>
      <c r="AO34" s="229">
        <f>IF($AU$5=TRUE,AO30+1,"")</f>
        <v>24</v>
      </c>
      <c r="AQ34" s="224"/>
    </row>
    <row r="35" spans="1:43" ht="16.2" thickBot="1" x14ac:dyDescent="0.35">
      <c r="A35" s="219"/>
      <c r="B35" s="27">
        <v>15</v>
      </c>
      <c r="C35" s="36" t="str">
        <f>Games!I12</f>
        <v>Army</v>
      </c>
      <c r="D35" s="70" t="e" vm="80">
        <f>_xlfn.XLOOKUP(C35,Teams!$C:$C,Teams!$E:$E,,0,1)</f>
        <v>#VALUE!</v>
      </c>
      <c r="E35" s="48">
        <f ca="1">Games!N12</f>
        <v>119</v>
      </c>
      <c r="F35" s="24"/>
      <c r="G35" s="24"/>
      <c r="I35" s="24"/>
      <c r="J35" s="24"/>
      <c r="L35" s="25"/>
      <c r="M35" s="25"/>
      <c r="O35" s="18">
        <f>IF($AU$5=TRUE,AD53+1,"")</f>
        <v>61</v>
      </c>
      <c r="P35" s="18"/>
      <c r="Q35" s="50"/>
      <c r="R35" s="25"/>
      <c r="S35" s="25"/>
      <c r="T35" s="219">
        <f>IF($AU$5=TRUE,AA35+1,"")</f>
        <v>63</v>
      </c>
      <c r="U35" s="219"/>
      <c r="V35" s="219"/>
      <c r="W35" s="25"/>
      <c r="X35" s="25"/>
      <c r="Y35" s="56"/>
      <c r="AA35" s="16">
        <f>IF($AU$5=TRUE,O35+1,"")</f>
        <v>62</v>
      </c>
      <c r="AD35" s="25"/>
      <c r="AG35" s="24"/>
      <c r="AJ35" s="24"/>
      <c r="AK35" s="59">
        <f ca="1">Games!N28</f>
        <v>120</v>
      </c>
      <c r="AL35" s="46" t="e" vm="112">
        <f>_xlfn.XLOOKUP(AM35,Teams!$C:$C,Teams!$E:$E,,0,1)</f>
        <v>#VALUE!</v>
      </c>
      <c r="AM35" s="37" t="str">
        <f>Games!I28</f>
        <v>Charlotte</v>
      </c>
      <c r="AN35" s="27">
        <v>15</v>
      </c>
      <c r="AO35" s="229"/>
      <c r="AQ35" s="224"/>
    </row>
    <row r="36" spans="1:43" ht="10.5" customHeight="1" x14ac:dyDescent="0.3">
      <c r="A36" s="16"/>
      <c r="B36" s="28"/>
      <c r="C36" s="38"/>
      <c r="D36" s="71"/>
      <c r="F36" s="24"/>
      <c r="G36" s="24"/>
      <c r="I36" s="24"/>
      <c r="J36" s="24"/>
      <c r="L36" s="25"/>
      <c r="M36" s="25"/>
      <c r="O36" s="25"/>
      <c r="P36" s="25"/>
      <c r="Q36" s="50"/>
      <c r="R36" s="25"/>
      <c r="S36" s="25"/>
      <c r="T36" s="53"/>
      <c r="U36" s="76"/>
      <c r="V36" s="53"/>
      <c r="W36" s="25"/>
      <c r="X36" s="25"/>
      <c r="Y36" s="56"/>
      <c r="AA36" s="25"/>
      <c r="AD36" s="25"/>
      <c r="AG36" s="24"/>
      <c r="AJ36" s="24"/>
      <c r="AM36" s="39"/>
      <c r="AN36" s="28"/>
      <c r="AO36" s="17"/>
      <c r="AQ36" s="224"/>
    </row>
    <row r="37" spans="1:43" ht="18.600000000000001" customHeight="1" thickBot="1" x14ac:dyDescent="0.35">
      <c r="A37" s="16"/>
      <c r="B37" s="27">
        <v>1</v>
      </c>
      <c r="C37" s="36" t="str">
        <f>Games!G13</f>
        <v>Auburn</v>
      </c>
      <c r="D37" s="70" t="e" vm="81">
        <f>_xlfn.XLOOKUP(C37,Teams!$C:$C,Teams!$E:$E,,0,1)</f>
        <v>#VALUE!</v>
      </c>
      <c r="E37" s="46">
        <f ca="1">Games!L13</f>
        <v>117</v>
      </c>
      <c r="F37" s="227" t="str">
        <f ca="1">Games!O13</f>
        <v>Auburn</v>
      </c>
      <c r="G37" s="220" t="e" vm="81">
        <f ca="1">_xlfn.XLOOKUP(F37,Teams!$C:$C,Teams!$E:$E,,0,1)</f>
        <v>#VALUE!</v>
      </c>
      <c r="H37" s="225">
        <f ca="1">Games!L42</f>
        <v>106</v>
      </c>
      <c r="I37" s="24"/>
      <c r="J37" s="24"/>
      <c r="L37" s="25"/>
      <c r="M37" s="25"/>
      <c r="O37" s="25"/>
      <c r="P37" s="25"/>
      <c r="Q37" s="50"/>
      <c r="R37" s="25"/>
      <c r="S37" s="25"/>
      <c r="T37" s="53"/>
      <c r="U37" s="76"/>
      <c r="V37" s="53"/>
      <c r="W37" s="25"/>
      <c r="X37" s="25"/>
      <c r="Y37" s="56"/>
      <c r="AA37" s="25"/>
      <c r="AD37" s="25"/>
      <c r="AG37" s="24"/>
      <c r="AH37" s="225">
        <f ca="1">Games!L50</f>
        <v>116</v>
      </c>
      <c r="AI37" s="204" t="e" vm="113">
        <f ca="1">_xlfn.XLOOKUP(AJ37,Teams!$C:$C,Teams!$E:$E,,0,1)</f>
        <v>#VALUE!</v>
      </c>
      <c r="AJ37" s="227" t="str">
        <f ca="1">Games!O29</f>
        <v>Chattanooga</v>
      </c>
      <c r="AK37" s="58">
        <f ca="1">Games!L29</f>
        <v>112</v>
      </c>
      <c r="AL37" s="46" t="e" vm="113">
        <f>_xlfn.XLOOKUP(AM37,Teams!$C:$C,Teams!$E:$E,,0,1)</f>
        <v>#VALUE!</v>
      </c>
      <c r="AM37" s="37" t="str">
        <f>Games!G29</f>
        <v>Chattanooga</v>
      </c>
      <c r="AN37" s="27">
        <v>1</v>
      </c>
      <c r="AO37" s="17"/>
      <c r="AQ37" s="224"/>
    </row>
    <row r="38" spans="1:43" ht="10.5" customHeight="1" thickBot="1" x14ac:dyDescent="0.35">
      <c r="A38" s="219">
        <f>IF($AU$5=TRUE,A34+1,"")</f>
        <v>9</v>
      </c>
      <c r="B38" s="28"/>
      <c r="C38" s="38"/>
      <c r="D38" s="71"/>
      <c r="E38" s="49"/>
      <c r="F38" s="228"/>
      <c r="G38" s="221"/>
      <c r="H38" s="226"/>
      <c r="I38" s="24"/>
      <c r="J38" s="24"/>
      <c r="L38" s="25"/>
      <c r="M38" s="25"/>
      <c r="O38" s="25"/>
      <c r="P38" s="25"/>
      <c r="Q38" s="50"/>
      <c r="R38" s="25"/>
      <c r="S38" s="25"/>
      <c r="T38" s="53"/>
      <c r="U38" s="76"/>
      <c r="V38" s="53"/>
      <c r="W38" s="25"/>
      <c r="X38" s="25"/>
      <c r="Y38" s="56"/>
      <c r="AA38" s="25"/>
      <c r="AD38" s="25"/>
      <c r="AG38" s="24"/>
      <c r="AH38" s="226"/>
      <c r="AI38" s="205"/>
      <c r="AJ38" s="228"/>
      <c r="AK38" s="55"/>
      <c r="AM38" s="39"/>
      <c r="AN38" s="28"/>
      <c r="AO38" s="229">
        <f>IF($AU$5=TRUE,AO34+1,"")</f>
        <v>25</v>
      </c>
    </row>
    <row r="39" spans="1:43" ht="13.8" customHeight="1" thickBot="1" x14ac:dyDescent="0.35">
      <c r="A39" s="219"/>
      <c r="B39" s="27">
        <v>16</v>
      </c>
      <c r="C39" s="36" t="str">
        <f>Games!I13</f>
        <v>Austin Peay</v>
      </c>
      <c r="D39" s="70" t="e" vm="82">
        <f>_xlfn.XLOOKUP(C39,Teams!$C:$C,Teams!$E:$E,,0,1)</f>
        <v>#VALUE!</v>
      </c>
      <c r="E39" s="48">
        <f ca="1">Games!N13</f>
        <v>111</v>
      </c>
      <c r="F39" s="230">
        <f>IF($AU$5=TRUE,F31+1,"")</f>
        <v>37</v>
      </c>
      <c r="G39" s="14"/>
      <c r="H39" s="49"/>
      <c r="I39" s="233" t="str">
        <f ca="1">Games!O42</f>
        <v>Auburn</v>
      </c>
      <c r="J39" s="220" t="e" vm="81">
        <f ca="1">_xlfn.XLOOKUP(I39,Teams!$C:$C,Teams!$E:$E,,0,1)</f>
        <v>#VALUE!</v>
      </c>
      <c r="K39" s="225">
        <f ca="1">Games!L57</f>
        <v>120</v>
      </c>
      <c r="L39" s="25"/>
      <c r="M39" s="25"/>
      <c r="O39" s="25"/>
      <c r="P39" s="25"/>
      <c r="Q39" s="50"/>
      <c r="R39" s="25"/>
      <c r="S39" s="25"/>
      <c r="T39" s="244">
        <f ca="1">Games!N72</f>
        <v>96</v>
      </c>
      <c r="U39" s="235" t="e" vm="117">
        <f ca="1">_xlfn.XLOOKUP(V39,Teams!$C:$C,Teams!$E:$E,,0,1)</f>
        <v>#VALUE!</v>
      </c>
      <c r="V39" s="227" t="str">
        <f ca="1">Games!O70</f>
        <v>Cleveland State</v>
      </c>
      <c r="W39" s="227"/>
      <c r="X39" s="239"/>
      <c r="Y39" s="56"/>
      <c r="AA39" s="25"/>
      <c r="AD39" s="25"/>
      <c r="AE39" s="217">
        <f ca="1">Games!L61</f>
        <v>91</v>
      </c>
      <c r="AF39" s="204" t="e" vm="113">
        <f ca="1">_xlfn.XLOOKUP(AG39,Teams!$C:$C,Teams!$E:$E,,0,1)</f>
        <v>#VALUE!</v>
      </c>
      <c r="AG39" s="227" t="str">
        <f ca="1">Games!O50</f>
        <v>Chattanooga</v>
      </c>
      <c r="AH39" s="55"/>
      <c r="AI39" s="51"/>
      <c r="AJ39" s="230">
        <f>IF($AU$5=TRUE,AJ31+1,"")</f>
        <v>45</v>
      </c>
      <c r="AK39" s="59">
        <f ca="1">Games!N29</f>
        <v>104</v>
      </c>
      <c r="AL39" s="46" t="e" vm="114">
        <f>_xlfn.XLOOKUP(AM39,Teams!$C:$C,Teams!$E:$E,,0,1)</f>
        <v>#VALUE!</v>
      </c>
      <c r="AM39" s="37" t="str">
        <f>Games!I29</f>
        <v>Chicago State</v>
      </c>
      <c r="AN39" s="27">
        <v>16</v>
      </c>
      <c r="AO39" s="229"/>
    </row>
    <row r="40" spans="1:43" ht="10.5" customHeight="1" thickBot="1" x14ac:dyDescent="0.35">
      <c r="A40" s="16"/>
      <c r="B40" s="28"/>
      <c r="C40" s="38"/>
      <c r="D40" s="71"/>
      <c r="F40" s="219"/>
      <c r="G40" s="15"/>
      <c r="H40" s="50"/>
      <c r="I40" s="234"/>
      <c r="J40" s="221"/>
      <c r="K40" s="226"/>
      <c r="L40" s="25"/>
      <c r="M40" s="25"/>
      <c r="O40" s="25"/>
      <c r="P40" s="25"/>
      <c r="Q40" s="50"/>
      <c r="R40" s="25"/>
      <c r="S40" s="25"/>
      <c r="T40" s="245"/>
      <c r="U40" s="236"/>
      <c r="V40" s="228"/>
      <c r="W40" s="228"/>
      <c r="X40" s="240"/>
      <c r="Y40" s="56"/>
      <c r="AA40" s="25"/>
      <c r="AD40" s="25"/>
      <c r="AE40" s="218"/>
      <c r="AF40" s="205"/>
      <c r="AG40" s="228"/>
      <c r="AH40" s="56"/>
      <c r="AJ40" s="219"/>
      <c r="AM40" s="39"/>
      <c r="AN40" s="28"/>
      <c r="AO40" s="17"/>
    </row>
    <row r="41" spans="1:43" ht="18.600000000000001" customHeight="1" thickBot="1" x14ac:dyDescent="0.35">
      <c r="A41" s="16"/>
      <c r="B41" s="27">
        <v>8</v>
      </c>
      <c r="C41" s="36" t="str">
        <f>Games!G14</f>
        <v>Ball State</v>
      </c>
      <c r="D41" s="70" t="e" vm="83">
        <f>_xlfn.XLOOKUP(C41,Teams!$C:$C,Teams!$E:$E,,0,1)</f>
        <v>#VALUE!</v>
      </c>
      <c r="E41" s="46">
        <f ca="1">Games!L14</f>
        <v>105</v>
      </c>
      <c r="F41" s="227" t="str">
        <f ca="1">Games!O14</f>
        <v>Baylor</v>
      </c>
      <c r="G41" s="220" t="e" vm="84">
        <f ca="1">_xlfn.XLOOKUP(F41,Teams!$C:$C,Teams!$E:$E,,0,1)</f>
        <v>#VALUE!</v>
      </c>
      <c r="H41" s="222">
        <f ca="1">Games!N42</f>
        <v>90</v>
      </c>
      <c r="I41" s="24"/>
      <c r="J41" s="24"/>
      <c r="K41" s="49"/>
      <c r="L41" s="25"/>
      <c r="M41" s="25"/>
      <c r="O41" s="25"/>
      <c r="P41" s="25"/>
      <c r="Q41" s="50"/>
      <c r="R41" s="25"/>
      <c r="S41" s="25"/>
      <c r="T41" s="53"/>
      <c r="U41" s="76"/>
      <c r="V41" s="53"/>
      <c r="W41" s="25"/>
      <c r="X41" s="25"/>
      <c r="Y41" s="56"/>
      <c r="AA41" s="25"/>
      <c r="AD41" s="25"/>
      <c r="AE41" s="55"/>
      <c r="AG41" s="24"/>
      <c r="AH41" s="217">
        <f ca="1">Games!N50</f>
        <v>91</v>
      </c>
      <c r="AI41" s="204" t="e" vm="116">
        <f ca="1">_xlfn.XLOOKUP(AJ41,Teams!$C:$C,Teams!$E:$E,,0,1)</f>
        <v>#VALUE!</v>
      </c>
      <c r="AJ41" s="227" t="str">
        <f ca="1">Games!O30</f>
        <v>Clemson</v>
      </c>
      <c r="AK41" s="58">
        <f ca="1">Games!L30</f>
        <v>91</v>
      </c>
      <c r="AL41" s="46" t="e" vm="115">
        <f>_xlfn.XLOOKUP(AM41,Teams!$C:$C,Teams!$E:$E,,0,1)</f>
        <v>#VALUE!</v>
      </c>
      <c r="AM41" s="37" t="str">
        <f>Games!G30</f>
        <v>Cincinnati</v>
      </c>
      <c r="AN41" s="27">
        <v>8</v>
      </c>
      <c r="AO41" s="17"/>
    </row>
    <row r="42" spans="1:43" ht="10.5" customHeight="1" thickBot="1" x14ac:dyDescent="0.35">
      <c r="A42" s="219">
        <f>IF($AU$5=TRUE,A38+1,"")</f>
        <v>10</v>
      </c>
      <c r="B42" s="28"/>
      <c r="C42" s="38"/>
      <c r="D42" s="71"/>
      <c r="E42" s="49"/>
      <c r="F42" s="228"/>
      <c r="G42" s="221"/>
      <c r="H42" s="223"/>
      <c r="I42" s="24"/>
      <c r="J42" s="24"/>
      <c r="K42" s="50"/>
      <c r="L42" s="25"/>
      <c r="M42" s="25"/>
      <c r="O42" s="25"/>
      <c r="P42" s="25"/>
      <c r="Q42" s="50"/>
      <c r="R42" s="25"/>
      <c r="S42" s="25"/>
      <c r="T42" s="25"/>
      <c r="U42" s="75"/>
      <c r="V42" s="25"/>
      <c r="W42" s="25"/>
      <c r="X42" s="25"/>
      <c r="Y42" s="56"/>
      <c r="AA42" s="25"/>
      <c r="AD42" s="25"/>
      <c r="AE42" s="56"/>
      <c r="AG42" s="24"/>
      <c r="AH42" s="218"/>
      <c r="AI42" s="205"/>
      <c r="AJ42" s="228"/>
      <c r="AK42" s="55"/>
      <c r="AM42" s="39"/>
      <c r="AN42" s="28"/>
      <c r="AO42" s="229">
        <f>IF($AU$5=TRUE,AO38+1,"")</f>
        <v>26</v>
      </c>
    </row>
    <row r="43" spans="1:43" ht="13.8" customHeight="1" thickBot="1" x14ac:dyDescent="0.35">
      <c r="A43" s="219"/>
      <c r="B43" s="27">
        <v>9</v>
      </c>
      <c r="C43" s="36" t="str">
        <f>Games!I14</f>
        <v>Baylor</v>
      </c>
      <c r="D43" s="70" t="e" vm="84">
        <f>_xlfn.XLOOKUP(C43,Teams!$C:$C,Teams!$E:$E,,0,1)</f>
        <v>#VALUE!</v>
      </c>
      <c r="E43" s="48">
        <f ca="1">Games!N14</f>
        <v>109</v>
      </c>
      <c r="F43" s="24"/>
      <c r="G43" s="24"/>
      <c r="I43" s="219">
        <f>IF($AU$5=TRUE,I27+1,"")</f>
        <v>51</v>
      </c>
      <c r="J43" s="15"/>
      <c r="K43" s="50"/>
      <c r="L43" s="233" t="str">
        <f ca="1">Games!O57</f>
        <v>Auburn</v>
      </c>
      <c r="M43" s="220" t="e" vm="81">
        <f ca="1">_xlfn.XLOOKUP(L43,Teams!$C:$C,Teams!$E:$E,,0,1)</f>
        <v>#VALUE!</v>
      </c>
      <c r="N43" s="225">
        <f ca="1">Games!L65</f>
        <v>103</v>
      </c>
      <c r="O43" s="25"/>
      <c r="P43" s="25"/>
      <c r="Q43" s="50"/>
      <c r="R43" s="25"/>
      <c r="S43" s="25"/>
      <c r="T43" s="25"/>
      <c r="U43" s="75"/>
      <c r="V43" s="25"/>
      <c r="W43" s="25"/>
      <c r="X43" s="25"/>
      <c r="Y43" s="56"/>
      <c r="AA43" s="25"/>
      <c r="AB43" s="225">
        <f ca="1">Games!L67</f>
        <v>109</v>
      </c>
      <c r="AC43" s="204" t="e" vm="117">
        <f ca="1">_xlfn.XLOOKUP(AD43,Teams!$C:$C,Teams!$E:$E,,0,1)</f>
        <v>#VALUE!</v>
      </c>
      <c r="AD43" s="231" t="str">
        <f ca="1">Games!O61</f>
        <v>Cleveland State</v>
      </c>
      <c r="AE43" s="56"/>
      <c r="AG43" s="219">
        <f>IF($AU$5=TRUE,AG27+1,"")</f>
        <v>55</v>
      </c>
      <c r="AJ43" s="24"/>
      <c r="AK43" s="59">
        <f ca="1">Games!N30</f>
        <v>112</v>
      </c>
      <c r="AL43" s="46" t="e" vm="116">
        <f>_xlfn.XLOOKUP(AM43,Teams!$C:$C,Teams!$E:$E,,0,1)</f>
        <v>#VALUE!</v>
      </c>
      <c r="AM43" s="37" t="str">
        <f>Games!I30</f>
        <v>Clemson</v>
      </c>
      <c r="AN43" s="27">
        <v>9</v>
      </c>
      <c r="AO43" s="229"/>
    </row>
    <row r="44" spans="1:43" ht="10.5" customHeight="1" thickBot="1" x14ac:dyDescent="0.35">
      <c r="A44" s="16"/>
      <c r="B44" s="28"/>
      <c r="C44" s="38"/>
      <c r="D44" s="71"/>
      <c r="F44" s="24"/>
      <c r="G44" s="24"/>
      <c r="I44" s="219"/>
      <c r="J44" s="15"/>
      <c r="K44" s="50"/>
      <c r="L44" s="234"/>
      <c r="M44" s="221"/>
      <c r="N44" s="226"/>
      <c r="O44" s="25"/>
      <c r="P44" s="25"/>
      <c r="Q44" s="50"/>
      <c r="R44" s="25"/>
      <c r="S44" s="25"/>
      <c r="T44" s="25"/>
      <c r="U44" s="75"/>
      <c r="V44" s="25"/>
      <c r="W44" s="25"/>
      <c r="X44" s="25"/>
      <c r="Y44" s="56"/>
      <c r="AA44" s="25"/>
      <c r="AB44" s="226"/>
      <c r="AC44" s="205"/>
      <c r="AD44" s="232"/>
      <c r="AE44" s="56"/>
      <c r="AG44" s="219"/>
      <c r="AJ44" s="24"/>
      <c r="AM44" s="39"/>
      <c r="AN44" s="28"/>
      <c r="AO44" s="17"/>
    </row>
    <row r="45" spans="1:43" ht="18.600000000000001" customHeight="1" thickBot="1" x14ac:dyDescent="0.35">
      <c r="A45" s="16"/>
      <c r="B45" s="27">
        <v>5</v>
      </c>
      <c r="C45" s="36" t="str">
        <f>Games!G15</f>
        <v>Bellarmine</v>
      </c>
      <c r="D45" s="70" t="e" vm="85">
        <f>_xlfn.XLOOKUP(C45,Teams!$C:$C,Teams!$E:$E,,0,1)</f>
        <v>#VALUE!</v>
      </c>
      <c r="E45" s="46">
        <f ca="1">Games!L15</f>
        <v>99</v>
      </c>
      <c r="F45" s="227" t="str">
        <f ca="1">Games!O15</f>
        <v>Belmont</v>
      </c>
      <c r="G45" s="220" t="e" vm="86">
        <f ca="1">_xlfn.XLOOKUP(F45,Teams!$C:$C,Teams!$E:$E,,0,1)</f>
        <v>#VALUE!</v>
      </c>
      <c r="H45" s="225">
        <f ca="1">Games!L43</f>
        <v>95</v>
      </c>
      <c r="I45" s="24"/>
      <c r="J45" s="24"/>
      <c r="K45" s="50"/>
      <c r="L45" s="25"/>
      <c r="M45" s="25"/>
      <c r="N45" s="49"/>
      <c r="O45" s="25"/>
      <c r="P45" s="25"/>
      <c r="Q45" s="50"/>
      <c r="R45" s="25"/>
      <c r="S45" s="25"/>
      <c r="T45" s="25"/>
      <c r="U45" s="75"/>
      <c r="V45" s="25"/>
      <c r="W45" s="25"/>
      <c r="X45" s="25"/>
      <c r="Y45" s="56"/>
      <c r="AA45" s="25"/>
      <c r="AB45" s="55"/>
      <c r="AD45" s="25"/>
      <c r="AE45" s="56"/>
      <c r="AG45" s="24"/>
      <c r="AH45" s="225">
        <f ca="1">Games!L51</f>
        <v>116</v>
      </c>
      <c r="AI45" s="204" t="e" vm="117">
        <f ca="1">_xlfn.XLOOKUP(AJ45,Teams!$C:$C,Teams!$E:$E,,0,1)</f>
        <v>#VALUE!</v>
      </c>
      <c r="AJ45" s="227" t="str">
        <f ca="1">Games!O31</f>
        <v>Cleveland State</v>
      </c>
      <c r="AK45" s="58">
        <f ca="1">Games!L31</f>
        <v>108</v>
      </c>
      <c r="AL45" s="46" t="e" vm="117">
        <f>_xlfn.XLOOKUP(AM45,Teams!$C:$C,Teams!$E:$E,,0,1)</f>
        <v>#VALUE!</v>
      </c>
      <c r="AM45" s="37" t="str">
        <f>Games!G31</f>
        <v>Cleveland State</v>
      </c>
      <c r="AN45" s="27">
        <v>5</v>
      </c>
      <c r="AO45" s="17"/>
    </row>
    <row r="46" spans="1:43" ht="10.5" customHeight="1" thickBot="1" x14ac:dyDescent="0.35">
      <c r="A46" s="219">
        <f>IF($AU$5=TRUE,A42+1,"")</f>
        <v>11</v>
      </c>
      <c r="B46" s="28"/>
      <c r="C46" s="38"/>
      <c r="D46" s="71"/>
      <c r="E46" s="49"/>
      <c r="F46" s="228"/>
      <c r="G46" s="221"/>
      <c r="H46" s="226"/>
      <c r="I46" s="24"/>
      <c r="J46" s="24"/>
      <c r="K46" s="50"/>
      <c r="L46" s="25"/>
      <c r="M46" s="25"/>
      <c r="N46" s="50"/>
      <c r="O46" s="25"/>
      <c r="P46" s="25"/>
      <c r="Q46" s="50"/>
      <c r="R46" s="25"/>
      <c r="S46" s="25"/>
      <c r="T46" s="25"/>
      <c r="U46" s="75"/>
      <c r="V46" s="25"/>
      <c r="W46" s="25"/>
      <c r="X46" s="25"/>
      <c r="Y46" s="56"/>
      <c r="AA46" s="25"/>
      <c r="AB46" s="56"/>
      <c r="AD46" s="25"/>
      <c r="AE46" s="56"/>
      <c r="AG46" s="24"/>
      <c r="AH46" s="226"/>
      <c r="AI46" s="205"/>
      <c r="AJ46" s="228"/>
      <c r="AK46" s="55"/>
      <c r="AM46" s="39"/>
      <c r="AN46" s="28"/>
      <c r="AO46" s="229">
        <f>IF($AU$5=TRUE,AO42+1,"")</f>
        <v>27</v>
      </c>
    </row>
    <row r="47" spans="1:43" ht="13.8" customHeight="1" thickBot="1" x14ac:dyDescent="0.35">
      <c r="A47" s="219"/>
      <c r="B47" s="27">
        <v>12</v>
      </c>
      <c r="C47" s="41" t="str">
        <f>Games!I15</f>
        <v>Belmont</v>
      </c>
      <c r="D47" s="70" t="e" vm="86">
        <f>_xlfn.XLOOKUP(C47,Teams!$C:$C,Teams!$E:$E,,0,1)</f>
        <v>#VALUE!</v>
      </c>
      <c r="E47" s="48">
        <f ca="1">Games!N15</f>
        <v>111</v>
      </c>
      <c r="F47" s="230">
        <f>IF($AU$5=TRUE,F39+1,"")</f>
        <v>38</v>
      </c>
      <c r="G47" s="14"/>
      <c r="H47" s="49"/>
      <c r="I47" s="233" t="str">
        <f ca="1">Games!O43</f>
        <v>Binghamton</v>
      </c>
      <c r="J47" s="220" t="e" vm="88">
        <f ca="1">_xlfn.XLOOKUP(I47,Teams!$C:$C,Teams!$E:$E,,0,1)</f>
        <v>#VALUE!</v>
      </c>
      <c r="K47" s="222">
        <f ca="1">Games!N57</f>
        <v>111</v>
      </c>
      <c r="L47" s="25"/>
      <c r="M47" s="25"/>
      <c r="N47" s="50"/>
      <c r="O47" s="25"/>
      <c r="P47" s="25"/>
      <c r="Q47" s="50"/>
      <c r="R47" s="25"/>
      <c r="S47" s="25"/>
      <c r="T47" s="25"/>
      <c r="U47" s="75"/>
      <c r="V47" s="25"/>
      <c r="W47" s="25"/>
      <c r="X47" s="25"/>
      <c r="Y47" s="56"/>
      <c r="AA47" s="25"/>
      <c r="AB47" s="56"/>
      <c r="AD47" s="25"/>
      <c r="AE47" s="217">
        <f ca="1">Games!N61</f>
        <v>112</v>
      </c>
      <c r="AF47" s="204" t="e" vm="117">
        <f ca="1">_xlfn.XLOOKUP(AG47,Teams!$C:$C,Teams!$E:$E,,0,1)</f>
        <v>#VALUE!</v>
      </c>
      <c r="AG47" s="227" t="str">
        <f ca="1">Games!O51</f>
        <v>Cleveland State</v>
      </c>
      <c r="AH47" s="55"/>
      <c r="AI47" s="51"/>
      <c r="AJ47" s="230">
        <f>IF($AU$5=TRUE,AJ39+1,"")</f>
        <v>46</v>
      </c>
      <c r="AK47" s="59">
        <f ca="1">Games!N31</f>
        <v>107</v>
      </c>
      <c r="AL47" s="46" t="e" vm="118">
        <f>_xlfn.XLOOKUP(AM47,Teams!$C:$C,Teams!$E:$E,,0,1)</f>
        <v>#VALUE!</v>
      </c>
      <c r="AM47" s="37" t="str">
        <f>Games!I31</f>
        <v>Coastal Carolina</v>
      </c>
      <c r="AN47" s="27">
        <v>12</v>
      </c>
      <c r="AO47" s="229"/>
    </row>
    <row r="48" spans="1:43" ht="10.5" customHeight="1" thickBot="1" x14ac:dyDescent="0.35">
      <c r="A48" s="16"/>
      <c r="B48" s="28"/>
      <c r="C48" s="38"/>
      <c r="D48" s="71"/>
      <c r="F48" s="219"/>
      <c r="G48" s="15"/>
      <c r="H48" s="50"/>
      <c r="I48" s="234"/>
      <c r="J48" s="221"/>
      <c r="K48" s="223"/>
      <c r="L48" s="25"/>
      <c r="M48" s="25"/>
      <c r="N48" s="50"/>
      <c r="O48" s="25"/>
      <c r="P48" s="25"/>
      <c r="Q48" s="50"/>
      <c r="R48" s="25"/>
      <c r="S48" s="25"/>
      <c r="T48" s="25"/>
      <c r="U48" s="75"/>
      <c r="V48" s="25"/>
      <c r="W48" s="25"/>
      <c r="X48" s="25"/>
      <c r="Y48" s="56"/>
      <c r="AA48" s="25"/>
      <c r="AB48" s="56"/>
      <c r="AD48" s="25"/>
      <c r="AE48" s="218"/>
      <c r="AF48" s="205"/>
      <c r="AG48" s="228"/>
      <c r="AH48" s="56"/>
      <c r="AJ48" s="219"/>
      <c r="AM48" s="39"/>
      <c r="AN48" s="28"/>
      <c r="AO48" s="17"/>
    </row>
    <row r="49" spans="1:41" ht="18.600000000000001" customHeight="1" thickBot="1" x14ac:dyDescent="0.35">
      <c r="A49" s="16"/>
      <c r="B49" s="27">
        <v>4</v>
      </c>
      <c r="C49" s="36" t="str">
        <f>Games!G16</f>
        <v>Bethune-Cookman</v>
      </c>
      <c r="D49" s="70" t="e" vm="87">
        <f>_xlfn.XLOOKUP(C49,Teams!$C:$C,Teams!$E:$E,,0,1)</f>
        <v>#VALUE!</v>
      </c>
      <c r="E49" s="46">
        <f ca="1">Games!L16</f>
        <v>99</v>
      </c>
      <c r="F49" s="227" t="str">
        <f ca="1">Games!O16</f>
        <v>Binghamton</v>
      </c>
      <c r="G49" s="220" t="e" vm="88">
        <f ca="1">_xlfn.XLOOKUP(F49,Teams!$C:$C,Teams!$E:$E,,0,1)</f>
        <v>#VALUE!</v>
      </c>
      <c r="H49" s="222">
        <f ca="1">Games!N43</f>
        <v>115</v>
      </c>
      <c r="I49" s="24"/>
      <c r="J49" s="24"/>
      <c r="L49" s="25"/>
      <c r="M49" s="25"/>
      <c r="N49" s="50"/>
      <c r="O49" s="25"/>
      <c r="P49" s="25"/>
      <c r="Q49" s="50"/>
      <c r="R49" s="25"/>
      <c r="S49" s="25"/>
      <c r="T49" s="25"/>
      <c r="U49" s="75"/>
      <c r="V49" s="25"/>
      <c r="W49" s="25"/>
      <c r="X49" s="25"/>
      <c r="Y49" s="56"/>
      <c r="AA49" s="25"/>
      <c r="AB49" s="56"/>
      <c r="AD49" s="25"/>
      <c r="AG49" s="24"/>
      <c r="AH49" s="217">
        <f ca="1">Games!N51</f>
        <v>112</v>
      </c>
      <c r="AI49" s="204" t="e" vm="120">
        <f ca="1">_xlfn.XLOOKUP(AJ49,Teams!$C:$C,Teams!$E:$E,,0,1)</f>
        <v>#VALUE!</v>
      </c>
      <c r="AJ49" s="227" t="str">
        <f ca="1">Games!O32</f>
        <v>College of Charleston</v>
      </c>
      <c r="AK49" s="58">
        <f ca="1">Games!L32</f>
        <v>98</v>
      </c>
      <c r="AL49" s="46" t="e" vm="119">
        <f>_xlfn.XLOOKUP(AM49,Teams!$C:$C,Teams!$E:$E,,0,1)</f>
        <v>#VALUE!</v>
      </c>
      <c r="AM49" s="37" t="str">
        <f>Games!G32</f>
        <v>Colgate</v>
      </c>
      <c r="AN49" s="27">
        <v>4</v>
      </c>
      <c r="AO49" s="17"/>
    </row>
    <row r="50" spans="1:41" ht="10.5" customHeight="1" thickBot="1" x14ac:dyDescent="0.35">
      <c r="A50" s="219">
        <f>IF($AU$5=TRUE,A46+1,"")</f>
        <v>12</v>
      </c>
      <c r="B50" s="28"/>
      <c r="C50" s="38"/>
      <c r="D50" s="71"/>
      <c r="E50" s="49"/>
      <c r="F50" s="228"/>
      <c r="G50" s="221"/>
      <c r="H50" s="223"/>
      <c r="I50" s="24"/>
      <c r="J50" s="24"/>
      <c r="L50" s="25"/>
      <c r="M50" s="25"/>
      <c r="N50" s="50"/>
      <c r="O50" s="25"/>
      <c r="P50" s="25"/>
      <c r="Q50" s="50"/>
      <c r="R50" s="25"/>
      <c r="S50" s="25"/>
      <c r="T50" s="25"/>
      <c r="U50" s="75"/>
      <c r="V50" s="25"/>
      <c r="W50" s="25"/>
      <c r="X50" s="25"/>
      <c r="Y50" s="56"/>
      <c r="AA50" s="25"/>
      <c r="AB50" s="56"/>
      <c r="AD50" s="25"/>
      <c r="AG50" s="24"/>
      <c r="AH50" s="218"/>
      <c r="AI50" s="205"/>
      <c r="AJ50" s="228"/>
      <c r="AK50" s="55"/>
      <c r="AM50" s="39"/>
      <c r="AN50" s="28"/>
      <c r="AO50" s="229">
        <f>IF($AU$5=TRUE,AO46+1,"")</f>
        <v>28</v>
      </c>
    </row>
    <row r="51" spans="1:41" ht="13.8" customHeight="1" thickBot="1" x14ac:dyDescent="0.45">
      <c r="A51" s="219"/>
      <c r="B51" s="27">
        <v>13</v>
      </c>
      <c r="C51" s="36" t="str">
        <f>Games!I16</f>
        <v>Binghamton</v>
      </c>
      <c r="D51" s="70" t="e" vm="88">
        <f>_xlfn.XLOOKUP(C51,Teams!$C:$C,Teams!$E:$E,,0,1)</f>
        <v>#VALUE!</v>
      </c>
      <c r="E51" s="48">
        <f ca="1">Games!N16</f>
        <v>117</v>
      </c>
      <c r="F51" s="24"/>
      <c r="G51" s="24"/>
      <c r="I51" s="24"/>
      <c r="J51" s="24"/>
      <c r="K51" s="241" t="s">
        <v>4</v>
      </c>
      <c r="L51" s="241"/>
      <c r="M51" s="20"/>
      <c r="N51" s="50"/>
      <c r="O51" s="233" t="str">
        <f ca="1">Games!O65</f>
        <v>Auburn</v>
      </c>
      <c r="P51" s="220" t="e" vm="81">
        <f ca="1">_xlfn.XLOOKUP(O51,Teams!$C:$C,Teams!$E:$E,,0,1)</f>
        <v>#VALUE!</v>
      </c>
      <c r="Q51" s="222">
        <f ca="1">Games!N69</f>
        <v>116</v>
      </c>
      <c r="R51" s="25"/>
      <c r="S51" s="25"/>
      <c r="T51" s="25"/>
      <c r="U51" s="75"/>
      <c r="V51" s="25"/>
      <c r="W51" s="25"/>
      <c r="X51" s="25"/>
      <c r="Y51" s="217">
        <f ca="1">Games!N70</f>
        <v>120</v>
      </c>
      <c r="Z51" s="204" t="e" vm="117">
        <f ca="1">_xlfn.XLOOKUP(AA51,Teams!$C:$C,Teams!$E:$E,,0,1)</f>
        <v>#VALUE!</v>
      </c>
      <c r="AA51" s="227" t="str">
        <f ca="1">Games!O67</f>
        <v>Cleveland State</v>
      </c>
      <c r="AB51" s="56"/>
      <c r="AD51" s="241" t="s">
        <v>14</v>
      </c>
      <c r="AE51" s="241"/>
      <c r="AF51" s="20"/>
      <c r="AG51" s="24"/>
      <c r="AJ51" s="24"/>
      <c r="AK51" s="59">
        <f ca="1">Games!N32</f>
        <v>118</v>
      </c>
      <c r="AL51" s="46" t="e" vm="120">
        <f>_xlfn.XLOOKUP(AM51,Teams!$C:$C,Teams!$E:$E,,0,1)</f>
        <v>#VALUE!</v>
      </c>
      <c r="AM51" s="37" t="str">
        <f>Games!I32</f>
        <v>College of Charleston</v>
      </c>
      <c r="AN51" s="27">
        <v>13</v>
      </c>
      <c r="AO51" s="229"/>
    </row>
    <row r="52" spans="1:41" ht="10.5" customHeight="1" thickBot="1" x14ac:dyDescent="0.45">
      <c r="A52" s="16"/>
      <c r="B52" s="28"/>
      <c r="C52" s="38"/>
      <c r="D52" s="71"/>
      <c r="F52" s="24"/>
      <c r="G52" s="24"/>
      <c r="I52" s="24"/>
      <c r="J52" s="24"/>
      <c r="K52" s="241"/>
      <c r="L52" s="241"/>
      <c r="M52" s="20"/>
      <c r="N52" s="50"/>
      <c r="O52" s="234"/>
      <c r="P52" s="221"/>
      <c r="Q52" s="223"/>
      <c r="R52" s="25"/>
      <c r="S52" s="25"/>
      <c r="T52" s="25"/>
      <c r="U52" s="75"/>
      <c r="V52" s="25"/>
      <c r="W52" s="25"/>
      <c r="X52" s="25"/>
      <c r="Y52" s="218"/>
      <c r="Z52" s="205"/>
      <c r="AA52" s="228"/>
      <c r="AB52" s="56"/>
      <c r="AD52" s="241"/>
      <c r="AE52" s="241"/>
      <c r="AF52" s="20"/>
      <c r="AG52" s="24"/>
      <c r="AJ52" s="24"/>
      <c r="AM52" s="39"/>
      <c r="AN52" s="28"/>
      <c r="AO52" s="17"/>
    </row>
    <row r="53" spans="1:41" ht="18.600000000000001" customHeight="1" thickBot="1" x14ac:dyDescent="0.35">
      <c r="A53" s="16"/>
      <c r="B53" s="27">
        <v>6</v>
      </c>
      <c r="C53" s="36" t="str">
        <f>Games!G17</f>
        <v>Boise State</v>
      </c>
      <c r="D53" s="70" t="e" vm="89">
        <f>_xlfn.XLOOKUP(C53,Teams!$C:$C,Teams!$E:$E,,0,1)</f>
        <v>#VALUE!</v>
      </c>
      <c r="E53" s="46">
        <f ca="1">Games!L17</f>
        <v>103</v>
      </c>
      <c r="F53" s="227" t="str">
        <f ca="1">Games!O17</f>
        <v>Boston College</v>
      </c>
      <c r="G53" s="220" t="e" vm="90">
        <f ca="1">_xlfn.XLOOKUP(F53,Teams!$C:$C,Teams!$E:$E,,0,1)</f>
        <v>#VALUE!</v>
      </c>
      <c r="H53" s="225">
        <f ca="1">Games!L44</f>
        <v>117</v>
      </c>
      <c r="I53" s="24"/>
      <c r="J53" s="24"/>
      <c r="L53" s="18">
        <f>IF($AU$5=TRUE,L21+1,"")</f>
        <v>58</v>
      </c>
      <c r="M53" s="18"/>
      <c r="N53" s="50"/>
      <c r="O53" s="25"/>
      <c r="P53" s="25"/>
      <c r="Q53" s="51"/>
      <c r="R53" s="25"/>
      <c r="S53" s="25"/>
      <c r="T53" s="25"/>
      <c r="U53" s="75"/>
      <c r="V53" s="25"/>
      <c r="W53" s="25"/>
      <c r="X53" s="25"/>
      <c r="AA53" s="25"/>
      <c r="AB53" s="56"/>
      <c r="AD53" s="16">
        <f>IF($AU$5=TRUE,AD21+1,"")</f>
        <v>60</v>
      </c>
      <c r="AG53" s="24"/>
      <c r="AH53" s="225">
        <f ca="1">Games!L52</f>
        <v>93</v>
      </c>
      <c r="AI53" s="204" t="e" vm="121">
        <f ca="1">_xlfn.XLOOKUP(AJ53,Teams!$C:$C,Teams!$E:$E,,0,1)</f>
        <v>#VALUE!</v>
      </c>
      <c r="AJ53" s="227" t="str">
        <f ca="1">Games!O33</f>
        <v>Colorado</v>
      </c>
      <c r="AK53" s="58">
        <f ca="1">Games!L33</f>
        <v>101</v>
      </c>
      <c r="AL53" s="46" t="e" vm="121">
        <f>_xlfn.XLOOKUP(AM53,Teams!$C:$C,Teams!$E:$E,,0,1)</f>
        <v>#VALUE!</v>
      </c>
      <c r="AM53" s="37" t="str">
        <f>Games!G33</f>
        <v>Colorado</v>
      </c>
      <c r="AN53" s="27">
        <v>6</v>
      </c>
      <c r="AO53" s="17"/>
    </row>
    <row r="54" spans="1:41" ht="10.5" customHeight="1" thickBot="1" x14ac:dyDescent="0.35">
      <c r="A54" s="219">
        <f>IF($AU$5=TRUE,A50+1,"")</f>
        <v>13</v>
      </c>
      <c r="B54" s="28"/>
      <c r="C54" s="38"/>
      <c r="D54" s="71"/>
      <c r="E54" s="49"/>
      <c r="F54" s="228"/>
      <c r="G54" s="221"/>
      <c r="H54" s="226"/>
      <c r="I54" s="24"/>
      <c r="J54" s="24"/>
      <c r="L54" s="25"/>
      <c r="M54" s="25"/>
      <c r="N54" s="50"/>
      <c r="O54" s="25"/>
      <c r="P54" s="25"/>
      <c r="R54" s="25"/>
      <c r="S54" s="25"/>
      <c r="T54" s="25"/>
      <c r="U54" s="75"/>
      <c r="V54" s="25"/>
      <c r="W54" s="25"/>
      <c r="X54" s="25"/>
      <c r="AA54" s="25"/>
      <c r="AB54" s="56"/>
      <c r="AD54" s="25"/>
      <c r="AG54" s="24"/>
      <c r="AH54" s="226"/>
      <c r="AI54" s="205"/>
      <c r="AJ54" s="228"/>
      <c r="AK54" s="55"/>
      <c r="AM54" s="39"/>
      <c r="AN54" s="28"/>
      <c r="AO54" s="229">
        <f>IF($AU$5=TRUE,AO50+1,"")</f>
        <v>29</v>
      </c>
    </row>
    <row r="55" spans="1:41" ht="13.8" customHeight="1" thickBot="1" x14ac:dyDescent="0.35">
      <c r="A55" s="219"/>
      <c r="B55" s="27">
        <v>11</v>
      </c>
      <c r="C55" s="36" t="str">
        <f>Games!I17</f>
        <v>Boston College</v>
      </c>
      <c r="D55" s="70" t="e" vm="90">
        <f>_xlfn.XLOOKUP(C55,Teams!$C:$C,Teams!$E:$E,,0,1)</f>
        <v>#VALUE!</v>
      </c>
      <c r="E55" s="48">
        <f ca="1">Games!N17</f>
        <v>113</v>
      </c>
      <c r="F55" s="230">
        <f>IF($AU$5=TRUE,F47+1,"")</f>
        <v>39</v>
      </c>
      <c r="G55" s="14"/>
      <c r="H55" s="49"/>
      <c r="I55" s="233" t="str">
        <f ca="1">Games!O44</f>
        <v>Boston College</v>
      </c>
      <c r="J55" s="220" t="e" vm="90">
        <f ca="1">_xlfn.XLOOKUP(I55,Teams!$C:$C,Teams!$E:$E,,0,1)</f>
        <v>#VALUE!</v>
      </c>
      <c r="K55" s="225">
        <f ca="1">Games!L58</f>
        <v>110</v>
      </c>
      <c r="L55" s="25"/>
      <c r="M55" s="25"/>
      <c r="N55" s="50"/>
      <c r="O55" s="25"/>
      <c r="P55" s="25"/>
      <c r="R55" s="25"/>
      <c r="S55" s="25"/>
      <c r="T55" s="25"/>
      <c r="U55" s="75"/>
      <c r="V55" s="25"/>
      <c r="W55" s="25"/>
      <c r="X55" s="25"/>
      <c r="AA55" s="25"/>
      <c r="AB55" s="56"/>
      <c r="AD55" s="25"/>
      <c r="AE55" s="225">
        <f ca="1">Games!L62</f>
        <v>107</v>
      </c>
      <c r="AF55" s="204" t="e" vm="124">
        <f ca="1">_xlfn.XLOOKUP(AG55,Teams!$C:$C,Teams!$E:$E,,0,1)</f>
        <v>#VALUE!</v>
      </c>
      <c r="AG55" s="227" t="str">
        <f ca="1">Games!O52</f>
        <v>Connecticut</v>
      </c>
      <c r="AH55" s="55"/>
      <c r="AI55" s="51"/>
      <c r="AJ55" s="230">
        <f>IF($AU$5=TRUE,AJ47+1,"")</f>
        <v>47</v>
      </c>
      <c r="AK55" s="59">
        <f ca="1">Games!N33</f>
        <v>91</v>
      </c>
      <c r="AL55" s="46" t="e" vm="122">
        <f>_xlfn.XLOOKUP(AM55,Teams!$C:$C,Teams!$E:$E,,0,1)</f>
        <v>#VALUE!</v>
      </c>
      <c r="AM55" s="37" t="str">
        <f>Games!I33</f>
        <v>Colorado State</v>
      </c>
      <c r="AN55" s="32">
        <v>11</v>
      </c>
      <c r="AO55" s="229"/>
    </row>
    <row r="56" spans="1:41" ht="10.5" customHeight="1" thickBot="1" x14ac:dyDescent="0.35">
      <c r="A56" s="16"/>
      <c r="B56" s="28"/>
      <c r="C56" s="38"/>
      <c r="D56" s="71"/>
      <c r="F56" s="219"/>
      <c r="G56" s="15"/>
      <c r="H56" s="50"/>
      <c r="I56" s="234"/>
      <c r="J56" s="221"/>
      <c r="K56" s="226"/>
      <c r="L56" s="25"/>
      <c r="M56" s="25"/>
      <c r="N56" s="50"/>
      <c r="O56" s="25"/>
      <c r="P56" s="25"/>
      <c r="R56" s="25"/>
      <c r="S56" s="25"/>
      <c r="T56" s="25"/>
      <c r="U56" s="75"/>
      <c r="V56" s="25"/>
      <c r="W56" s="25"/>
      <c r="X56" s="25"/>
      <c r="AA56" s="25"/>
      <c r="AB56" s="56"/>
      <c r="AD56" s="25"/>
      <c r="AE56" s="226"/>
      <c r="AF56" s="205"/>
      <c r="AG56" s="228"/>
      <c r="AH56" s="56"/>
      <c r="AJ56" s="219"/>
      <c r="AM56" s="39"/>
      <c r="AN56" s="28"/>
      <c r="AO56" s="17"/>
    </row>
    <row r="57" spans="1:41" ht="18.600000000000001" customHeight="1" thickBot="1" x14ac:dyDescent="0.35">
      <c r="A57" s="16"/>
      <c r="B57" s="27">
        <v>3</v>
      </c>
      <c r="C57" s="36" t="str">
        <f>Games!G18</f>
        <v>Boston University</v>
      </c>
      <c r="D57" s="70" t="e" vm="91">
        <f>_xlfn.XLOOKUP(C57,Teams!$C:$C,Teams!$E:$E,,0,1)</f>
        <v>#VALUE!</v>
      </c>
      <c r="E57" s="46">
        <f ca="1">Games!L18</f>
        <v>99</v>
      </c>
      <c r="F57" s="227" t="str">
        <f ca="1">Games!O18</f>
        <v>Bowling Green</v>
      </c>
      <c r="G57" s="220" t="e" vm="92">
        <f ca="1">_xlfn.XLOOKUP(F57,Teams!$C:$C,Teams!$E:$E,,0,1)</f>
        <v>#VALUE!</v>
      </c>
      <c r="H57" s="222">
        <f ca="1">Games!N44</f>
        <v>112</v>
      </c>
      <c r="I57" s="24"/>
      <c r="J57" s="24"/>
      <c r="K57" s="49"/>
      <c r="L57" s="25"/>
      <c r="M57" s="25"/>
      <c r="N57" s="50"/>
      <c r="O57" s="25"/>
      <c r="P57" s="25"/>
      <c r="R57" s="25"/>
      <c r="S57" s="25"/>
      <c r="T57" s="25"/>
      <c r="U57" s="75"/>
      <c r="V57" s="25"/>
      <c r="W57" s="25"/>
      <c r="X57" s="25"/>
      <c r="AA57" s="25"/>
      <c r="AB57" s="56"/>
      <c r="AD57" s="25"/>
      <c r="AE57" s="55"/>
      <c r="AG57" s="24"/>
      <c r="AH57" s="217">
        <f ca="1">Games!N52</f>
        <v>120</v>
      </c>
      <c r="AI57" s="204" t="e" vm="124">
        <f ca="1">_xlfn.XLOOKUP(AJ57,Teams!$C:$C,Teams!$E:$E,,0,1)</f>
        <v>#VALUE!</v>
      </c>
      <c r="AJ57" s="227" t="str">
        <f ca="1">Games!O34</f>
        <v>Connecticut</v>
      </c>
      <c r="AK57" s="58">
        <f ca="1">Games!L34</f>
        <v>99</v>
      </c>
      <c r="AL57" s="46" t="e" vm="123">
        <f>_xlfn.XLOOKUP(AM57,Teams!$C:$C,Teams!$E:$E,,0,1)</f>
        <v>#VALUE!</v>
      </c>
      <c r="AM57" s="37" t="str">
        <f>Games!G34</f>
        <v>Columbia</v>
      </c>
      <c r="AN57" s="27">
        <v>3</v>
      </c>
      <c r="AO57" s="17"/>
    </row>
    <row r="58" spans="1:41" ht="10.5" customHeight="1" thickBot="1" x14ac:dyDescent="0.35">
      <c r="A58" s="219">
        <f>IF($AU$5=TRUE,A54+1,"")</f>
        <v>14</v>
      </c>
      <c r="B58" s="28"/>
      <c r="C58" s="38"/>
      <c r="D58" s="71"/>
      <c r="E58" s="49"/>
      <c r="F58" s="228"/>
      <c r="G58" s="221"/>
      <c r="H58" s="223"/>
      <c r="I58" s="24"/>
      <c r="J58" s="24"/>
      <c r="K58" s="50"/>
      <c r="L58" s="25"/>
      <c r="M58" s="25"/>
      <c r="N58" s="50"/>
      <c r="O58" s="25"/>
      <c r="P58" s="25"/>
      <c r="R58" s="25"/>
      <c r="S58" s="25"/>
      <c r="T58" s="25"/>
      <c r="U58" s="75"/>
      <c r="V58" s="25"/>
      <c r="W58" s="25"/>
      <c r="X58" s="25"/>
      <c r="AA58" s="25"/>
      <c r="AB58" s="56"/>
      <c r="AD58" s="25"/>
      <c r="AE58" s="56"/>
      <c r="AG58" s="24"/>
      <c r="AH58" s="218"/>
      <c r="AI58" s="205"/>
      <c r="AJ58" s="228"/>
      <c r="AK58" s="55"/>
      <c r="AM58" s="39"/>
      <c r="AN58" s="28"/>
      <c r="AO58" s="229">
        <f>IF($AU$5=TRUE,AO54+1,"")</f>
        <v>30</v>
      </c>
    </row>
    <row r="59" spans="1:41" ht="13.8" customHeight="1" thickBot="1" x14ac:dyDescent="0.35">
      <c r="A59" s="219"/>
      <c r="B59" s="27">
        <v>14</v>
      </c>
      <c r="C59" s="36" t="str">
        <f>Games!I18</f>
        <v>Bowling Green</v>
      </c>
      <c r="D59" s="70" t="e" vm="92">
        <f>_xlfn.XLOOKUP(C59,Teams!$C:$C,Teams!$E:$E,,0,1)</f>
        <v>#VALUE!</v>
      </c>
      <c r="E59" s="48">
        <f ca="1">Games!N18</f>
        <v>110</v>
      </c>
      <c r="F59" s="24"/>
      <c r="G59" s="24"/>
      <c r="I59" s="219">
        <f>IF($AU$5=TRUE,I43+1,"")</f>
        <v>52</v>
      </c>
      <c r="J59" s="15"/>
      <c r="K59" s="50"/>
      <c r="L59" s="233" t="str">
        <f ca="1">Games!O58</f>
        <v>Brown</v>
      </c>
      <c r="M59" s="220" t="e" vm="95">
        <f ca="1">_xlfn.XLOOKUP(L59,Teams!$C:$C,Teams!$E:$E,,0,1)</f>
        <v>#VALUE!</v>
      </c>
      <c r="N59" s="222">
        <f ca="1">Games!N65</f>
        <v>91</v>
      </c>
      <c r="O59" s="25"/>
      <c r="P59" s="25"/>
      <c r="R59" s="25"/>
      <c r="S59" s="25"/>
      <c r="T59" s="25"/>
      <c r="U59" s="75"/>
      <c r="V59" s="25"/>
      <c r="W59" s="25"/>
      <c r="X59" s="25"/>
      <c r="AA59" s="25"/>
      <c r="AB59" s="217">
        <f ca="1">Games!N67</f>
        <v>98</v>
      </c>
      <c r="AC59" s="204" t="e" vm="124">
        <f ca="1">_xlfn.XLOOKUP(AD59,Teams!$C:$C,Teams!$E:$E,,0,1)</f>
        <v>#VALUE!</v>
      </c>
      <c r="AD59" s="227" t="str">
        <f ca="1">Games!O62</f>
        <v>Connecticut</v>
      </c>
      <c r="AE59" s="56"/>
      <c r="AG59" s="219">
        <f>IF($AU$5=TRUE,AG43+1,"")</f>
        <v>56</v>
      </c>
      <c r="AJ59" s="24"/>
      <c r="AK59" s="59">
        <f ca="1">Games!N34</f>
        <v>102</v>
      </c>
      <c r="AL59" s="46" t="e" vm="124">
        <f>_xlfn.XLOOKUP(AM59,Teams!$C:$C,Teams!$E:$E,,0,1)</f>
        <v>#VALUE!</v>
      </c>
      <c r="AM59" s="37" t="str">
        <f>Games!I34</f>
        <v>Connecticut</v>
      </c>
      <c r="AN59" s="27">
        <v>14</v>
      </c>
      <c r="AO59" s="229"/>
    </row>
    <row r="60" spans="1:41" ht="10.5" customHeight="1" thickBot="1" x14ac:dyDescent="0.35">
      <c r="A60" s="16"/>
      <c r="B60" s="28"/>
      <c r="C60" s="38"/>
      <c r="D60" s="71"/>
      <c r="F60" s="24"/>
      <c r="G60" s="24"/>
      <c r="I60" s="219"/>
      <c r="J60" s="15"/>
      <c r="K60" s="50"/>
      <c r="L60" s="234"/>
      <c r="M60" s="221"/>
      <c r="N60" s="223"/>
      <c r="O60" s="25"/>
      <c r="P60" s="25"/>
      <c r="Q60" s="25"/>
      <c r="R60" s="25"/>
      <c r="S60" s="25"/>
      <c r="T60" s="25"/>
      <c r="U60" s="75"/>
      <c r="V60" s="25"/>
      <c r="W60" s="25"/>
      <c r="X60" s="25"/>
      <c r="AA60" s="25"/>
      <c r="AB60" s="218"/>
      <c r="AC60" s="205"/>
      <c r="AD60" s="228"/>
      <c r="AE60" s="56"/>
      <c r="AG60" s="219"/>
      <c r="AJ60" s="24"/>
      <c r="AM60" s="39"/>
      <c r="AN60" s="28"/>
      <c r="AO60" s="17"/>
    </row>
    <row r="61" spans="1:41" ht="18.600000000000001" customHeight="1" thickBot="1" x14ac:dyDescent="0.35">
      <c r="A61" s="16"/>
      <c r="B61" s="27">
        <v>7</v>
      </c>
      <c r="C61" s="36" t="str">
        <f>Games!G19</f>
        <v>Bradley</v>
      </c>
      <c r="D61" s="70" t="e" vm="93">
        <f>_xlfn.XLOOKUP(C61,Teams!$C:$C,Teams!$E:$E,,0,1)</f>
        <v>#VALUE!</v>
      </c>
      <c r="E61" s="46">
        <f ca="1">Games!L19</f>
        <v>99</v>
      </c>
      <c r="F61" s="227" t="str">
        <f ca="1">Games!O19</f>
        <v>Brigham Young</v>
      </c>
      <c r="G61" s="220" t="e" vm="94">
        <f ca="1">_xlfn.XLOOKUP(F61,Teams!$C:$C,Teams!$E:$E,,0,1)</f>
        <v>#VALUE!</v>
      </c>
      <c r="H61" s="225">
        <f ca="1">Games!L45</f>
        <v>105</v>
      </c>
      <c r="I61" s="24"/>
      <c r="J61" s="24"/>
      <c r="K61" s="50"/>
      <c r="L61" s="25"/>
      <c r="M61" s="25"/>
      <c r="O61" s="25"/>
      <c r="P61" s="25"/>
      <c r="Q61" s="25"/>
      <c r="R61" s="25"/>
      <c r="S61" s="25"/>
      <c r="T61" s="25"/>
      <c r="U61" s="75"/>
      <c r="V61" s="25"/>
      <c r="W61" s="25"/>
      <c r="X61" s="25"/>
      <c r="AA61" s="25"/>
      <c r="AD61" s="25"/>
      <c r="AE61" s="56"/>
      <c r="AG61" s="24"/>
      <c r="AH61" s="225">
        <f ca="1">Games!L53</f>
        <v>95</v>
      </c>
      <c r="AI61" s="204" t="e" vm="125">
        <f ca="1">_xlfn.XLOOKUP(AJ61,Teams!$C:$C,Teams!$E:$E,,0,1)</f>
        <v>#VALUE!</v>
      </c>
      <c r="AJ61" s="227" t="str">
        <f ca="1">Games!O35</f>
        <v>Coppin State</v>
      </c>
      <c r="AK61" s="58">
        <f ca="1">Games!L35</f>
        <v>113</v>
      </c>
      <c r="AL61" s="46" t="e" vm="125">
        <f>_xlfn.XLOOKUP(AM61,Teams!$C:$C,Teams!$E:$E,,0,1)</f>
        <v>#VALUE!</v>
      </c>
      <c r="AM61" s="37" t="str">
        <f>Games!G35</f>
        <v>Coppin State</v>
      </c>
      <c r="AN61" s="27">
        <v>7</v>
      </c>
      <c r="AO61" s="17"/>
    </row>
    <row r="62" spans="1:41" ht="10.5" customHeight="1" thickBot="1" x14ac:dyDescent="0.35">
      <c r="A62" s="219">
        <f>IF($AU$5=TRUE,A58+1,"")</f>
        <v>15</v>
      </c>
      <c r="B62" s="28"/>
      <c r="C62" s="38"/>
      <c r="D62" s="71"/>
      <c r="E62" s="49"/>
      <c r="F62" s="228"/>
      <c r="G62" s="221"/>
      <c r="H62" s="226"/>
      <c r="I62" s="24"/>
      <c r="J62" s="24"/>
      <c r="K62" s="50"/>
      <c r="L62" s="25"/>
      <c r="M62" s="25"/>
      <c r="O62" s="25"/>
      <c r="P62" s="25"/>
      <c r="Q62" s="25"/>
      <c r="R62" s="25"/>
      <c r="S62" s="25"/>
      <c r="T62" s="25"/>
      <c r="U62" s="75"/>
      <c r="V62" s="25"/>
      <c r="W62" s="25"/>
      <c r="X62" s="25"/>
      <c r="AA62" s="25"/>
      <c r="AD62" s="25"/>
      <c r="AE62" s="56"/>
      <c r="AG62" s="24"/>
      <c r="AH62" s="226"/>
      <c r="AI62" s="205"/>
      <c r="AJ62" s="228"/>
      <c r="AK62" s="55"/>
      <c r="AM62" s="39"/>
      <c r="AN62" s="28"/>
      <c r="AO62" s="229">
        <f>IF($AU$5=TRUE,AO58+1,"")</f>
        <v>31</v>
      </c>
    </row>
    <row r="63" spans="1:41" ht="13.8" customHeight="1" thickBot="1" x14ac:dyDescent="0.35">
      <c r="A63" s="219"/>
      <c r="B63" s="27">
        <v>10</v>
      </c>
      <c r="C63" s="36" t="str">
        <f>Games!I19</f>
        <v>Brigham Young</v>
      </c>
      <c r="D63" s="70" t="e" vm="94">
        <f>_xlfn.XLOOKUP(C63,Teams!$C:$C,Teams!$E:$E,,0,1)</f>
        <v>#VALUE!</v>
      </c>
      <c r="E63" s="48">
        <f ca="1">Games!N19</f>
        <v>111</v>
      </c>
      <c r="F63" s="230">
        <f>IF($AU$5=TRUE,F55+1,"")</f>
        <v>40</v>
      </c>
      <c r="G63" s="14"/>
      <c r="H63" s="49"/>
      <c r="I63" s="233" t="str">
        <f ca="1">Games!O45</f>
        <v>Brown</v>
      </c>
      <c r="J63" s="220" t="e" vm="95">
        <f ca="1">_xlfn.XLOOKUP(I63,Teams!$C:$C,Teams!$E:$E,,0,1)</f>
        <v>#VALUE!</v>
      </c>
      <c r="K63" s="222">
        <f ca="1">Games!N58</f>
        <v>113</v>
      </c>
      <c r="L63" s="25"/>
      <c r="M63" s="25"/>
      <c r="O63" s="25"/>
      <c r="P63" s="25"/>
      <c r="Q63" s="25"/>
      <c r="R63" s="25"/>
      <c r="S63" s="25"/>
      <c r="T63" s="25"/>
      <c r="U63" s="75"/>
      <c r="V63" s="25"/>
      <c r="W63" s="25"/>
      <c r="X63" s="25"/>
      <c r="Y63" s="57"/>
      <c r="Z63" s="57"/>
      <c r="AA63" s="25"/>
      <c r="AD63" s="25"/>
      <c r="AE63" s="217">
        <f ca="1">Games!N62</f>
        <v>90</v>
      </c>
      <c r="AF63" s="204" t="e" vm="128">
        <f ca="1">_xlfn.XLOOKUP(AG63,Teams!$C:$C,Teams!$E:$E,,0,1)</f>
        <v>#VALUE!</v>
      </c>
      <c r="AG63" s="227" t="str">
        <f ca="1">Games!O53</f>
        <v>Dartmouth</v>
      </c>
      <c r="AH63" s="55"/>
      <c r="AI63" s="51"/>
      <c r="AJ63" s="230">
        <f>IF($AU$5=TRUE,AJ55+1,"")</f>
        <v>48</v>
      </c>
      <c r="AK63" s="59">
        <f ca="1">Games!N35</f>
        <v>99</v>
      </c>
      <c r="AL63" s="46" t="e" vm="126">
        <f>_xlfn.XLOOKUP(AM63,Teams!$C:$C,Teams!$E:$E,,0,1)</f>
        <v>#VALUE!</v>
      </c>
      <c r="AM63" s="37" t="str">
        <f>Games!I35</f>
        <v>Cornell</v>
      </c>
      <c r="AN63" s="27">
        <v>10</v>
      </c>
      <c r="AO63" s="229"/>
    </row>
    <row r="64" spans="1:41" ht="10.5" customHeight="1" thickBot="1" x14ac:dyDescent="0.35">
      <c r="A64" s="16"/>
      <c r="B64" s="28"/>
      <c r="C64" s="38"/>
      <c r="D64" s="71"/>
      <c r="F64" s="219"/>
      <c r="G64" s="15"/>
      <c r="H64" s="50"/>
      <c r="I64" s="234"/>
      <c r="J64" s="221"/>
      <c r="K64" s="223"/>
      <c r="L64" s="25"/>
      <c r="M64" s="25"/>
      <c r="O64" s="25"/>
      <c r="P64" s="25"/>
      <c r="R64" s="25"/>
      <c r="S64" s="25"/>
      <c r="T64" s="25"/>
      <c r="U64" s="75"/>
      <c r="V64" s="25"/>
      <c r="W64" s="25"/>
      <c r="X64" s="25"/>
      <c r="Y64" s="57"/>
      <c r="Z64" s="57"/>
      <c r="AA64" s="25"/>
      <c r="AD64" s="25"/>
      <c r="AE64" s="218"/>
      <c r="AF64" s="205"/>
      <c r="AG64" s="228"/>
      <c r="AH64" s="56"/>
      <c r="AJ64" s="219"/>
      <c r="AM64" s="39"/>
      <c r="AN64" s="28"/>
      <c r="AO64" s="17"/>
    </row>
    <row r="65" spans="1:41" ht="18.600000000000001" customHeight="1" thickBot="1" x14ac:dyDescent="0.35">
      <c r="A65" s="16"/>
      <c r="B65" s="27">
        <v>2</v>
      </c>
      <c r="C65" s="36" t="str">
        <f>Games!G20</f>
        <v>Brown</v>
      </c>
      <c r="D65" s="70" t="e" vm="95">
        <f>_xlfn.XLOOKUP(C65,Teams!$C:$C,Teams!$E:$E,,0,1)</f>
        <v>#VALUE!</v>
      </c>
      <c r="E65" s="46">
        <f ca="1">Games!L20</f>
        <v>120</v>
      </c>
      <c r="F65" s="227" t="str">
        <f ca="1">Games!O20</f>
        <v>Brown</v>
      </c>
      <c r="G65" s="220" t="e" vm="95">
        <f ca="1">_xlfn.XLOOKUP(F65,Teams!$C:$C,Teams!$E:$E,,0,1)</f>
        <v>#VALUE!</v>
      </c>
      <c r="H65" s="222">
        <f ca="1">Games!N45</f>
        <v>114</v>
      </c>
      <c r="I65" s="25"/>
      <c r="J65" s="25"/>
      <c r="L65" s="25"/>
      <c r="M65" s="25"/>
      <c r="O65" s="25"/>
      <c r="P65" s="25"/>
      <c r="R65" s="25"/>
      <c r="S65" s="25"/>
      <c r="T65" s="25"/>
      <c r="U65" s="75"/>
      <c r="V65" s="25"/>
      <c r="W65" s="25"/>
      <c r="X65" s="25"/>
      <c r="Y65" s="57"/>
      <c r="Z65" s="57"/>
      <c r="AA65" s="25"/>
      <c r="AD65" s="25"/>
      <c r="AG65" s="24"/>
      <c r="AH65" s="217">
        <f ca="1">Games!N53</f>
        <v>109</v>
      </c>
      <c r="AI65" s="204" t="e" vm="128">
        <f ca="1">_xlfn.XLOOKUP(AJ65,Teams!$C:$C,Teams!$E:$E,,0,1)</f>
        <v>#VALUE!</v>
      </c>
      <c r="AJ65" s="227" t="str">
        <f ca="1">Games!O36</f>
        <v>Dartmouth</v>
      </c>
      <c r="AK65" s="58">
        <f ca="1">Games!L36</f>
        <v>103</v>
      </c>
      <c r="AL65" s="46" t="e" vm="127">
        <f>_xlfn.XLOOKUP(AM65,Teams!$C:$C,Teams!$E:$E,,0,1)</f>
        <v>#VALUE!</v>
      </c>
      <c r="AM65" s="37" t="str">
        <f>Games!G36</f>
        <v>Creighton</v>
      </c>
      <c r="AN65" s="27">
        <v>2</v>
      </c>
      <c r="AO65" s="17"/>
    </row>
    <row r="66" spans="1:41" ht="10.5" customHeight="1" thickBot="1" x14ac:dyDescent="0.35">
      <c r="A66" s="219">
        <f>IF($AU$5=TRUE,A62+1,"")</f>
        <v>16</v>
      </c>
      <c r="B66" s="28"/>
      <c r="C66" s="38"/>
      <c r="D66" s="71"/>
      <c r="E66" s="49"/>
      <c r="F66" s="228"/>
      <c r="G66" s="221"/>
      <c r="H66" s="223"/>
      <c r="I66" s="25"/>
      <c r="J66" s="25"/>
      <c r="L66" s="25"/>
      <c r="M66" s="25"/>
      <c r="O66" s="253"/>
      <c r="P66" s="253"/>
      <c r="Q66" s="253"/>
      <c r="R66" s="253"/>
      <c r="S66" s="253"/>
      <c r="T66" s="253"/>
      <c r="U66" s="253"/>
      <c r="V66" s="253"/>
      <c r="W66" s="253"/>
      <c r="X66" s="253"/>
      <c r="Y66" s="253"/>
      <c r="Z66" s="253"/>
      <c r="AA66" s="253"/>
      <c r="AD66" s="25"/>
      <c r="AG66" s="24"/>
      <c r="AH66" s="218"/>
      <c r="AI66" s="205"/>
      <c r="AJ66" s="228"/>
      <c r="AK66" s="55"/>
      <c r="AM66" s="39"/>
      <c r="AN66" s="28"/>
      <c r="AO66" s="229">
        <f>IF($AU$5=TRUE,AO62+1,"")</f>
        <v>32</v>
      </c>
    </row>
    <row r="67" spans="1:41" ht="13.8" customHeight="1" thickBot="1" x14ac:dyDescent="0.35">
      <c r="A67" s="219"/>
      <c r="B67" s="27">
        <v>15</v>
      </c>
      <c r="C67" s="36" t="str">
        <f>Games!I20</f>
        <v>Bryant</v>
      </c>
      <c r="D67" s="70" t="e" vm="96">
        <f>_xlfn.XLOOKUP(C67,Teams!$C:$C,Teams!$E:$E,,0,1)</f>
        <v>#VALUE!</v>
      </c>
      <c r="E67" s="48">
        <f ca="1">Games!N20</f>
        <v>108</v>
      </c>
      <c r="F67" s="25"/>
      <c r="G67" s="25"/>
      <c r="I67" s="25"/>
      <c r="J67" s="25"/>
      <c r="L67" s="25"/>
      <c r="M67" s="25"/>
      <c r="O67" s="252"/>
      <c r="P67" s="252"/>
      <c r="Q67" s="252"/>
      <c r="R67" s="252"/>
      <c r="S67" s="252"/>
      <c r="T67" s="252"/>
      <c r="U67" s="252"/>
      <c r="V67" s="252"/>
      <c r="W67" s="252"/>
      <c r="X67" s="252"/>
      <c r="Y67" s="252"/>
      <c r="Z67" s="252"/>
      <c r="AA67" s="252"/>
      <c r="AD67" s="25"/>
      <c r="AG67" s="25"/>
      <c r="AJ67" s="24"/>
      <c r="AK67" s="59">
        <f ca="1">Games!N36</f>
        <v>103</v>
      </c>
      <c r="AL67" s="46" t="e" vm="128">
        <f>_xlfn.XLOOKUP(AM67,Teams!$C:$C,Teams!$E:$E,,0,1)</f>
        <v>#VALUE!</v>
      </c>
      <c r="AM67" s="37" t="str">
        <f>Games!I36</f>
        <v>Dartmouth</v>
      </c>
      <c r="AN67" s="27">
        <v>15</v>
      </c>
      <c r="AO67" s="229"/>
    </row>
    <row r="68" spans="1:41" ht="15.6" x14ac:dyDescent="0.3">
      <c r="A68" s="13"/>
      <c r="B68" s="24"/>
      <c r="C68" s="42"/>
      <c r="D68" s="72"/>
      <c r="F68" s="25"/>
      <c r="G68" s="25"/>
      <c r="I68" s="25"/>
      <c r="J68" s="25"/>
      <c r="L68" s="25"/>
      <c r="M68" s="25"/>
      <c r="O68" s="25"/>
      <c r="P68" s="25"/>
      <c r="R68" s="25"/>
      <c r="S68" s="25"/>
      <c r="T68" s="53"/>
      <c r="U68" s="76"/>
      <c r="V68" s="53"/>
      <c r="W68" s="25"/>
      <c r="X68" s="25"/>
      <c r="Y68" s="57"/>
      <c r="Z68" s="57"/>
      <c r="AA68" s="25"/>
      <c r="AD68" s="25"/>
      <c r="AG68" s="25"/>
      <c r="AJ68" s="25"/>
      <c r="AM68" s="25"/>
      <c r="AN68" s="24"/>
      <c r="AO68" s="17"/>
    </row>
    <row r="69" spans="1:41" ht="15.6" x14ac:dyDescent="0.3">
      <c r="A69" s="13"/>
      <c r="C69" s="42"/>
      <c r="D69" s="72"/>
      <c r="AO69" s="17"/>
    </row>
    <row r="70" spans="1:41" x14ac:dyDescent="0.25"/>
  </sheetData>
  <mergeCells count="258">
    <mergeCell ref="O67:AA67"/>
    <mergeCell ref="O66:AA66"/>
    <mergeCell ref="B1:AN1"/>
    <mergeCell ref="I7:I8"/>
    <mergeCell ref="K15:K16"/>
    <mergeCell ref="I15:I16"/>
    <mergeCell ref="K7:K8"/>
    <mergeCell ref="L11:L12"/>
    <mergeCell ref="AG15:AG16"/>
    <mergeCell ref="AJ7:AJ8"/>
    <mergeCell ref="H5:H6"/>
    <mergeCell ref="F5:F6"/>
    <mergeCell ref="H9:H10"/>
    <mergeCell ref="F9:F10"/>
    <mergeCell ref="F7:F8"/>
    <mergeCell ref="F15:F16"/>
    <mergeCell ref="F33:F34"/>
    <mergeCell ref="N11:N12"/>
    <mergeCell ref="F21:F22"/>
    <mergeCell ref="H21:H22"/>
    <mergeCell ref="H13:H14"/>
    <mergeCell ref="F13:F14"/>
    <mergeCell ref="H17:H18"/>
    <mergeCell ref="F17:F18"/>
    <mergeCell ref="AG7:AG8"/>
    <mergeCell ref="AE7:AE8"/>
    <mergeCell ref="AE15:AE16"/>
    <mergeCell ref="V27:V28"/>
    <mergeCell ref="AG11:AG12"/>
    <mergeCell ref="AD11:AD12"/>
    <mergeCell ref="AD19:AE20"/>
    <mergeCell ref="K23:K24"/>
    <mergeCell ref="K31:K32"/>
    <mergeCell ref="Q19:Q20"/>
    <mergeCell ref="AG23:AG24"/>
    <mergeCell ref="R27:T28"/>
    <mergeCell ref="AE23:AE24"/>
    <mergeCell ref="M27:M28"/>
    <mergeCell ref="P19:P20"/>
    <mergeCell ref="Z19:Z20"/>
    <mergeCell ref="F37:F38"/>
    <mergeCell ref="H37:H38"/>
    <mergeCell ref="I11:I12"/>
    <mergeCell ref="K55:K56"/>
    <mergeCell ref="K51:L52"/>
    <mergeCell ref="I23:I24"/>
    <mergeCell ref="I39:I40"/>
    <mergeCell ref="I31:I32"/>
    <mergeCell ref="I27:I28"/>
    <mergeCell ref="K47:K48"/>
    <mergeCell ref="L43:L44"/>
    <mergeCell ref="K39:K40"/>
    <mergeCell ref="G37:G38"/>
    <mergeCell ref="G33:G34"/>
    <mergeCell ref="G29:G30"/>
    <mergeCell ref="G25:G26"/>
    <mergeCell ref="G21:G22"/>
    <mergeCell ref="G17:G18"/>
    <mergeCell ref="G13:G14"/>
    <mergeCell ref="F57:F58"/>
    <mergeCell ref="H57:H58"/>
    <mergeCell ref="H45:H46"/>
    <mergeCell ref="I43:I44"/>
    <mergeCell ref="I47:I48"/>
    <mergeCell ref="F53:F54"/>
    <mergeCell ref="H53:H54"/>
    <mergeCell ref="I55:I56"/>
    <mergeCell ref="F49:F50"/>
    <mergeCell ref="H49:H50"/>
    <mergeCell ref="F45:F46"/>
    <mergeCell ref="F65:F66"/>
    <mergeCell ref="H65:H66"/>
    <mergeCell ref="L59:L60"/>
    <mergeCell ref="I63:I64"/>
    <mergeCell ref="K63:K64"/>
    <mergeCell ref="I59:I60"/>
    <mergeCell ref="F63:F64"/>
    <mergeCell ref="F61:F62"/>
    <mergeCell ref="H61:H62"/>
    <mergeCell ref="S2:W2"/>
    <mergeCell ref="AB11:AB12"/>
    <mergeCell ref="T39:T40"/>
    <mergeCell ref="AB27:AB28"/>
    <mergeCell ref="AA19:AA20"/>
    <mergeCell ref="S32:W33"/>
    <mergeCell ref="Y19:Y20"/>
    <mergeCell ref="S31:W31"/>
    <mergeCell ref="AJ5:AJ6"/>
    <mergeCell ref="AH5:AH6"/>
    <mergeCell ref="AJ9:AJ10"/>
    <mergeCell ref="AH9:AH10"/>
    <mergeCell ref="AJ13:AJ14"/>
    <mergeCell ref="AJ15:AJ16"/>
    <mergeCell ref="AJ21:AJ22"/>
    <mergeCell ref="AH21:AH22"/>
    <mergeCell ref="AH13:AH14"/>
    <mergeCell ref="AH17:AH18"/>
    <mergeCell ref="AJ17:AJ18"/>
    <mergeCell ref="AJ23:AJ24"/>
    <mergeCell ref="AG27:AG28"/>
    <mergeCell ref="AG31:AG32"/>
    <mergeCell ref="AJ33:AJ34"/>
    <mergeCell ref="AG39:AG40"/>
    <mergeCell ref="A66:A67"/>
    <mergeCell ref="AO6:AO7"/>
    <mergeCell ref="AO10:AO11"/>
    <mergeCell ref="AO14:AO15"/>
    <mergeCell ref="AO18:AO19"/>
    <mergeCell ref="AO22:AO23"/>
    <mergeCell ref="A26:A27"/>
    <mergeCell ref="A30:A31"/>
    <mergeCell ref="O19:O20"/>
    <mergeCell ref="N27:N28"/>
    <mergeCell ref="F29:F30"/>
    <mergeCell ref="H29:H30"/>
    <mergeCell ref="F25:F26"/>
    <mergeCell ref="H25:H26"/>
    <mergeCell ref="L27:L28"/>
    <mergeCell ref="AE63:AE64"/>
    <mergeCell ref="AG63:AG64"/>
    <mergeCell ref="AJ55:AJ56"/>
    <mergeCell ref="AJ63:AJ64"/>
    <mergeCell ref="AJ57:AJ58"/>
    <mergeCell ref="AH65:AH66"/>
    <mergeCell ref="AJ65:AJ66"/>
    <mergeCell ref="AH61:AH62"/>
    <mergeCell ref="A34:A35"/>
    <mergeCell ref="A38:A39"/>
    <mergeCell ref="A42:A43"/>
    <mergeCell ref="A46:A47"/>
    <mergeCell ref="A58:A59"/>
    <mergeCell ref="A62:A63"/>
    <mergeCell ref="A50:A51"/>
    <mergeCell ref="A54:A55"/>
    <mergeCell ref="A6:A7"/>
    <mergeCell ref="A10:A11"/>
    <mergeCell ref="A14:A15"/>
    <mergeCell ref="A18:A19"/>
    <mergeCell ref="A21:A22"/>
    <mergeCell ref="AO62:AO63"/>
    <mergeCell ref="AO66:AO67"/>
    <mergeCell ref="F23:F24"/>
    <mergeCell ref="F31:F32"/>
    <mergeCell ref="F39:F40"/>
    <mergeCell ref="F47:F48"/>
    <mergeCell ref="F55:F56"/>
    <mergeCell ref="AO26:AO27"/>
    <mergeCell ref="AO30:AO31"/>
    <mergeCell ref="AO34:AO35"/>
    <mergeCell ref="AJ61:AJ62"/>
    <mergeCell ref="AE39:AE40"/>
    <mergeCell ref="AH49:AH50"/>
    <mergeCell ref="AJ49:AJ50"/>
    <mergeCell ref="AH53:AH54"/>
    <mergeCell ref="AJ53:AJ54"/>
    <mergeCell ref="AJ47:AJ48"/>
    <mergeCell ref="AD51:AE52"/>
    <mergeCell ref="AG47:AG48"/>
    <mergeCell ref="AJ45:AJ46"/>
    <mergeCell ref="F41:F42"/>
    <mergeCell ref="AH29:AH30"/>
    <mergeCell ref="AJ29:AJ30"/>
    <mergeCell ref="AJ37:AJ38"/>
    <mergeCell ref="N59:N60"/>
    <mergeCell ref="AD27:AD28"/>
    <mergeCell ref="AD59:AD60"/>
    <mergeCell ref="AE31:AE32"/>
    <mergeCell ref="N43:N44"/>
    <mergeCell ref="T35:V35"/>
    <mergeCell ref="AE55:AE56"/>
    <mergeCell ref="AB43:AB44"/>
    <mergeCell ref="AA51:AA52"/>
    <mergeCell ref="AD43:AD44"/>
    <mergeCell ref="O51:O52"/>
    <mergeCell ref="U39:U40"/>
    <mergeCell ref="U27:U28"/>
    <mergeCell ref="P51:P52"/>
    <mergeCell ref="Z51:Z52"/>
    <mergeCell ref="V39:X40"/>
    <mergeCell ref="AC59:AC60"/>
    <mergeCell ref="AC43:AC44"/>
    <mergeCell ref="AC27:AC28"/>
    <mergeCell ref="AQ3:AQ11"/>
    <mergeCell ref="AQ14:AQ19"/>
    <mergeCell ref="AQ22:AQ27"/>
    <mergeCell ref="AQ34:AQ37"/>
    <mergeCell ref="Y51:Y52"/>
    <mergeCell ref="AB59:AB60"/>
    <mergeCell ref="Q51:Q52"/>
    <mergeCell ref="AH45:AH46"/>
    <mergeCell ref="AE47:AE48"/>
    <mergeCell ref="AG59:AG60"/>
    <mergeCell ref="AG55:AG56"/>
    <mergeCell ref="AH57:AH58"/>
    <mergeCell ref="AO50:AO51"/>
    <mergeCell ref="AO54:AO55"/>
    <mergeCell ref="AO58:AO59"/>
    <mergeCell ref="AO38:AO39"/>
    <mergeCell ref="AO42:AO43"/>
    <mergeCell ref="AO46:AO47"/>
    <mergeCell ref="AJ31:AJ32"/>
    <mergeCell ref="AJ41:AJ42"/>
    <mergeCell ref="AJ39:AJ40"/>
    <mergeCell ref="AH41:AH42"/>
    <mergeCell ref="AH37:AH38"/>
    <mergeCell ref="AJ25:AJ26"/>
    <mergeCell ref="J55:J56"/>
    <mergeCell ref="H33:H34"/>
    <mergeCell ref="M59:M60"/>
    <mergeCell ref="J63:J64"/>
    <mergeCell ref="G65:G66"/>
    <mergeCell ref="G61:G62"/>
    <mergeCell ref="G57:G58"/>
    <mergeCell ref="G53:G54"/>
    <mergeCell ref="G49:G50"/>
    <mergeCell ref="G45:G46"/>
    <mergeCell ref="G41:G42"/>
    <mergeCell ref="H41:H42"/>
    <mergeCell ref="M43:M44"/>
    <mergeCell ref="AF7:AF8"/>
    <mergeCell ref="G9:G10"/>
    <mergeCell ref="G5:G6"/>
    <mergeCell ref="J7:J8"/>
    <mergeCell ref="J15:J16"/>
    <mergeCell ref="J23:J24"/>
    <mergeCell ref="J31:J32"/>
    <mergeCell ref="J39:J40"/>
    <mergeCell ref="J47:J48"/>
    <mergeCell ref="K19:L20"/>
    <mergeCell ref="M11:M12"/>
    <mergeCell ref="AI5:AI6"/>
    <mergeCell ref="AI9:AI10"/>
    <mergeCell ref="AI13:AI14"/>
    <mergeCell ref="AI17:AI18"/>
    <mergeCell ref="AI21:AI22"/>
    <mergeCell ref="AI25:AI26"/>
    <mergeCell ref="AI29:AI30"/>
    <mergeCell ref="AI33:AI34"/>
    <mergeCell ref="AI37:AI38"/>
    <mergeCell ref="AC11:AC12"/>
    <mergeCell ref="T11:V19"/>
    <mergeCell ref="AI41:AI42"/>
    <mergeCell ref="AI45:AI46"/>
    <mergeCell ref="AI49:AI50"/>
    <mergeCell ref="AI53:AI54"/>
    <mergeCell ref="AI57:AI58"/>
    <mergeCell ref="AI61:AI62"/>
    <mergeCell ref="AI65:AI66"/>
    <mergeCell ref="AF63:AF64"/>
    <mergeCell ref="AF55:AF56"/>
    <mergeCell ref="AF47:AF48"/>
    <mergeCell ref="AH25:AH26"/>
    <mergeCell ref="AH33:AH34"/>
    <mergeCell ref="AG43:AG44"/>
    <mergeCell ref="AF39:AF40"/>
    <mergeCell ref="AF31:AF32"/>
    <mergeCell ref="AF23:AF24"/>
    <mergeCell ref="AF15:AF16"/>
  </mergeCells>
  <phoneticPr fontId="0" type="noConversion"/>
  <dataValidations disablePrompts="1" count="1">
    <dataValidation type="list" allowBlank="1" showInputMessage="1" showErrorMessage="1" sqref="AP29" xr:uid="{00000000-0002-0000-0000-000000000000}">
      <formula1>$AU$3:$AU$3</formula1>
    </dataValidation>
  </dataValidations>
  <printOptions horizontalCentered="1"/>
  <pageMargins left="0.25" right="0.25" top="0.35" bottom="0.35" header="0.25" footer="0.25"/>
  <pageSetup scale="65" orientation="landscape" horizontalDpi="4294967293" r:id="rId1"/>
  <ignoredErrors>
    <ignoredError sqref="F63 F7:F8 AJ7:AJ8 F15:F16 F19:F20 F23:F24 F27:F28 F31:F32 F35:F36 F39:F40 F43:F44 F55:F56 AJ11:AJ12 AJ15:AJ16 AJ19:AJ20 AJ23:AJ24 AJ27:AJ28 AJ31:AJ32 AJ35:AJ36 AJ39:AJ40 AJ43:AJ44 AJ47:AJ48 AJ51:AJ52 AJ55:AJ56 AJ59:AJ60 AJ63:AJ64 F11:F12 F47:F48 F51:F52" formula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Teams</vt:lpstr>
      <vt:lpstr>Games</vt:lpstr>
      <vt:lpstr>Bracket</vt:lpstr>
      <vt:lpstr>Bracket!Print_Area</vt:lpstr>
      <vt:lpstr>Games!Print_Area</vt:lpstr>
    </vt:vector>
  </TitlesOfParts>
  <Company>Vertex42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NCAA Basketball Tournament Bracket</dc:title>
  <dc:creator>Vertex42.com</dc:creator>
  <dc:description>(c) 2012-2023 Vertex42 LLC.</dc:description>
  <cp:lastModifiedBy>Anthony Gallante</cp:lastModifiedBy>
  <cp:lastPrinted>2018-03-12T04:22:21Z</cp:lastPrinted>
  <dcterms:created xsi:type="dcterms:W3CDTF">2012-02-10T03:16:24Z</dcterms:created>
  <dcterms:modified xsi:type="dcterms:W3CDTF">2025-12-24T03:13:56Z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2012-2023 Vertex42 LLC</vt:lpwstr>
  </property>
  <property fmtid="{D5CDD505-2E9C-101B-9397-08002B2CF9AE}" pid="3" name="Version">
    <vt:lpwstr>1.1.5</vt:lpwstr>
  </property>
</Properties>
</file>