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0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8_{FE524659-4E19-4499-BA2A-C28D06EC61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ames" sheetId="2" r:id="rId1"/>
    <sheet name="Bracket" sheetId="1" r:id="rId2"/>
  </sheets>
  <externalReferences>
    <externalReference r:id="rId3"/>
  </externalReferences>
  <definedNames>
    <definedName name="All_Teams">OFFSET(Games!#REF!,0,0,COUNTA(Games!$AB:$AB)-1,1)</definedName>
    <definedName name="Method">Games!#REF!</definedName>
    <definedName name="_xlnm.Print_Area" localSheetId="1">Bracket!$B$1:$AC$67</definedName>
    <definedName name="_xlnm.Print_Area" localSheetId="0">Games!$A$1:$O$72</definedName>
    <definedName name="SeedInfo">Games!$AB$2:$AC$60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Z2" i="1" l="1"/>
  <c r="AB2" i="1"/>
  <c r="AJ5" i="1" l="1"/>
  <c r="E3" i="2" l="1"/>
  <c r="E5" i="2"/>
  <c r="A5" i="2" s="1"/>
  <c r="C8" i="2"/>
  <c r="G55" i="2"/>
  <c r="B55" i="2" s="1"/>
  <c r="E64" i="2"/>
  <c r="A64" i="2" s="1"/>
  <c r="B41" i="2"/>
  <c r="C41" i="2"/>
  <c r="C15" i="2"/>
  <c r="G57" i="2"/>
  <c r="B57" i="2" s="1"/>
  <c r="E65" i="2"/>
  <c r="A65" i="2" s="1"/>
  <c r="B44" i="2"/>
  <c r="C44" i="2"/>
  <c r="G65" i="2"/>
  <c r="B65" i="2" s="1"/>
  <c r="E66" i="2"/>
  <c r="A66" i="2" s="1"/>
  <c r="C30" i="2"/>
  <c r="E61" i="2"/>
  <c r="A61" i="2" s="1"/>
  <c r="C51" i="2"/>
  <c r="I61" i="2"/>
  <c r="G67" i="2"/>
  <c r="B67" i="2" s="1"/>
  <c r="E60" i="2"/>
  <c r="A60" i="2" s="1"/>
  <c r="I60" i="2"/>
  <c r="C60" i="2" s="1"/>
  <c r="D55" i="2"/>
  <c r="D56" i="2"/>
  <c r="D57" i="2"/>
  <c r="D58" i="2"/>
  <c r="D59" i="2"/>
  <c r="D60" i="2"/>
  <c r="D61" i="2"/>
  <c r="D62" i="2"/>
  <c r="G54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G60" i="2"/>
  <c r="B60" i="2" s="1"/>
  <c r="A6" i="1"/>
  <c r="A10" i="1" s="1"/>
  <c r="A14" i="1" s="1"/>
  <c r="A18" i="1" s="1"/>
  <c r="A22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D6" i="1" s="1"/>
  <c r="AD10" i="1" s="1"/>
  <c r="AD14" i="1" s="1"/>
  <c r="AD18" i="1" s="1"/>
  <c r="AD22" i="1" s="1"/>
  <c r="AD26" i="1" s="1"/>
  <c r="AD30" i="1" s="1"/>
  <c r="AD34" i="1" s="1"/>
  <c r="AD38" i="1" s="1"/>
  <c r="AD42" i="1" s="1"/>
  <c r="AD46" i="1" s="1"/>
  <c r="AD50" i="1" s="1"/>
  <c r="AD54" i="1" s="1"/>
  <c r="AD58" i="1" s="1"/>
  <c r="AD62" i="1" s="1"/>
  <c r="AD66" i="1" s="1"/>
  <c r="E7" i="1" s="1"/>
  <c r="C36" i="2"/>
  <c r="C53" i="2"/>
  <c r="E71" i="2"/>
  <c r="E68" i="2"/>
  <c r="E63" i="2"/>
  <c r="E54" i="2"/>
  <c r="C22" i="2"/>
  <c r="B45" i="2"/>
  <c r="B42" i="2"/>
  <c r="E37" i="2"/>
  <c r="B51" i="2"/>
  <c r="A49" i="2"/>
  <c r="E22" i="2"/>
  <c r="A22" i="2" s="1"/>
  <c r="G22" i="2"/>
  <c r="B22" i="2" s="1"/>
  <c r="E23" i="2"/>
  <c r="A23" i="2" s="1"/>
  <c r="G23" i="2"/>
  <c r="B23" i="2" s="1"/>
  <c r="E24" i="2"/>
  <c r="A24" i="2" s="1"/>
  <c r="G24" i="2"/>
  <c r="B24" i="2" s="1"/>
  <c r="E25" i="2"/>
  <c r="A25" i="2" s="1"/>
  <c r="G25" i="2"/>
  <c r="B25" i="2" s="1"/>
  <c r="E26" i="2"/>
  <c r="A26" i="2" s="1"/>
  <c r="G26" i="2"/>
  <c r="B26" i="2" s="1"/>
  <c r="E27" i="2"/>
  <c r="A27" i="2" s="1"/>
  <c r="G27" i="2"/>
  <c r="B27" i="2" s="1"/>
  <c r="E28" i="2"/>
  <c r="A28" i="2" s="1"/>
  <c r="G28" i="2"/>
  <c r="B28" i="2" s="1"/>
  <c r="E29" i="2"/>
  <c r="A29" i="2" s="1"/>
  <c r="G29" i="2"/>
  <c r="B29" i="2" s="1"/>
  <c r="E30" i="2"/>
  <c r="A30" i="2" s="1"/>
  <c r="G30" i="2"/>
  <c r="B30" i="2" s="1"/>
  <c r="E31" i="2"/>
  <c r="A31" i="2" s="1"/>
  <c r="G31" i="2"/>
  <c r="B31" i="2" s="1"/>
  <c r="E32" i="2"/>
  <c r="A32" i="2" s="1"/>
  <c r="G32" i="2"/>
  <c r="B32" i="2" s="1"/>
  <c r="E33" i="2"/>
  <c r="A33" i="2" s="1"/>
  <c r="G33" i="2"/>
  <c r="B33" i="2" s="1"/>
  <c r="E34" i="2"/>
  <c r="A34" i="2" s="1"/>
  <c r="G34" i="2"/>
  <c r="B34" i="2" s="1"/>
  <c r="E35" i="2"/>
  <c r="A35" i="2" s="1"/>
  <c r="G35" i="2"/>
  <c r="B35" i="2" s="1"/>
  <c r="E36" i="2"/>
  <c r="A36" i="2" s="1"/>
  <c r="G36" i="2"/>
  <c r="B36" i="2" s="1"/>
  <c r="G21" i="2"/>
  <c r="B21" i="2" s="1"/>
  <c r="E21" i="2"/>
  <c r="A21" i="2" s="1"/>
  <c r="C16" i="2"/>
  <c r="G20" i="2"/>
  <c r="B20" i="2" s="1"/>
  <c r="E20" i="2"/>
  <c r="A20" i="2" s="1"/>
  <c r="G19" i="2"/>
  <c r="B19" i="2" s="1"/>
  <c r="E19" i="2"/>
  <c r="A19" i="2" s="1"/>
  <c r="G18" i="2"/>
  <c r="B18" i="2" s="1"/>
  <c r="E18" i="2"/>
  <c r="A18" i="2" s="1"/>
  <c r="G17" i="2"/>
  <c r="B17" i="2" s="1"/>
  <c r="E17" i="2"/>
  <c r="A17" i="2" s="1"/>
  <c r="G16" i="2"/>
  <c r="B16" i="2" s="1"/>
  <c r="E16" i="2"/>
  <c r="A16" i="2" s="1"/>
  <c r="G15" i="2"/>
  <c r="B15" i="2" s="1"/>
  <c r="E15" i="2"/>
  <c r="A15" i="2" s="1"/>
  <c r="G14" i="2"/>
  <c r="B14" i="2" s="1"/>
  <c r="E14" i="2"/>
  <c r="A14" i="2" s="1"/>
  <c r="G13" i="2"/>
  <c r="B13" i="2" s="1"/>
  <c r="E13" i="2"/>
  <c r="A13" i="2" s="1"/>
  <c r="G12" i="2"/>
  <c r="B12" i="2" s="1"/>
  <c r="E12" i="2"/>
  <c r="A12" i="2" s="1"/>
  <c r="G11" i="2"/>
  <c r="B11" i="2" s="1"/>
  <c r="E11" i="2"/>
  <c r="A11" i="2" s="1"/>
  <c r="G10" i="2"/>
  <c r="B10" i="2" s="1"/>
  <c r="E10" i="2"/>
  <c r="A10" i="2" s="1"/>
  <c r="G9" i="2"/>
  <c r="B9" i="2" s="1"/>
  <c r="E9" i="2"/>
  <c r="A9" i="2" s="1"/>
  <c r="G8" i="2"/>
  <c r="B8" i="2" s="1"/>
  <c r="E8" i="2"/>
  <c r="A8" i="2" s="1"/>
  <c r="G7" i="2"/>
  <c r="B7" i="2" s="1"/>
  <c r="E7" i="2"/>
  <c r="A7" i="2" s="1"/>
  <c r="G6" i="2"/>
  <c r="B6" i="2" s="1"/>
  <c r="E6" i="2"/>
  <c r="A6" i="2" s="1"/>
  <c r="G5" i="2"/>
  <c r="B5" i="2" s="1"/>
  <c r="C35" i="2"/>
  <c r="B52" i="2"/>
  <c r="A52" i="2"/>
  <c r="A51" i="2"/>
  <c r="C28" i="2"/>
  <c r="B48" i="2"/>
  <c r="A48" i="2"/>
  <c r="C23" i="2"/>
  <c r="A46" i="2"/>
  <c r="A44" i="2"/>
  <c r="E57" i="2"/>
  <c r="A57" i="2" s="1"/>
  <c r="A40" i="2"/>
  <c r="C11" i="2"/>
  <c r="C7" i="2"/>
  <c r="C6" i="2"/>
  <c r="C38" i="2"/>
  <c r="C46" i="2"/>
  <c r="G58" i="2"/>
  <c r="B58" i="2" s="1"/>
  <c r="C47" i="2"/>
  <c r="C52" i="2"/>
  <c r="G70" i="2"/>
  <c r="B70" i="2" s="1"/>
  <c r="I66" i="2"/>
  <c r="I69" i="2"/>
  <c r="I64" i="2"/>
  <c r="I72" i="2"/>
  <c r="C40" i="2"/>
  <c r="G64" i="2"/>
  <c r="B64" i="2" s="1"/>
  <c r="C14" i="2"/>
  <c r="C66" i="2" l="1"/>
  <c r="C64" i="2"/>
  <c r="E67" i="2"/>
  <c r="A67" i="2" s="1"/>
  <c r="C27" i="2"/>
  <c r="C20" i="2"/>
  <c r="C12" i="2"/>
  <c r="G56" i="2"/>
  <c r="B56" i="2" s="1"/>
  <c r="I55" i="2"/>
  <c r="I58" i="2"/>
  <c r="I67" i="2"/>
  <c r="E58" i="2"/>
  <c r="A58" i="2" s="1"/>
  <c r="C33" i="2"/>
  <c r="I59" i="2"/>
  <c r="C48" i="2"/>
  <c r="A47" i="2"/>
  <c r="C5" i="2"/>
  <c r="G59" i="2"/>
  <c r="B59" i="2" s="1"/>
  <c r="B50" i="2"/>
  <c r="C31" i="2"/>
  <c r="C39" i="2"/>
  <c r="C21" i="2"/>
  <c r="G62" i="2"/>
  <c r="B62" i="2" s="1"/>
  <c r="C43" i="2"/>
  <c r="C32" i="2"/>
  <c r="B49" i="2"/>
  <c r="G61" i="2"/>
  <c r="B61" i="2" s="1"/>
  <c r="C61" i="2" s="1"/>
  <c r="E62" i="2"/>
  <c r="A62" i="2" s="1"/>
  <c r="B43" i="2"/>
  <c r="C18" i="2"/>
  <c r="A43" i="2"/>
  <c r="E55" i="2"/>
  <c r="A55" i="2" s="1"/>
  <c r="C26" i="2"/>
  <c r="C45" i="2"/>
  <c r="I57" i="2"/>
  <c r="C57" i="2" s="1"/>
  <c r="C50" i="2"/>
  <c r="C25" i="2"/>
  <c r="B46" i="2"/>
  <c r="C9" i="2"/>
  <c r="I56" i="2"/>
  <c r="A39" i="2"/>
  <c r="C17" i="2"/>
  <c r="E70" i="2"/>
  <c r="A70" i="2" s="1"/>
  <c r="A41" i="2"/>
  <c r="H38" i="2"/>
  <c r="E15" i="1"/>
  <c r="E23" i="1" s="1"/>
  <c r="E31" i="1" s="1"/>
  <c r="E39" i="1" s="1"/>
  <c r="E47" i="1" s="1"/>
  <c r="E55" i="1" s="1"/>
  <c r="E63" i="1" s="1"/>
  <c r="Z7" i="1" s="1"/>
  <c r="Z15" i="1" s="1"/>
  <c r="Z23" i="1" s="1"/>
  <c r="Z31" i="1" s="1"/>
  <c r="Z39" i="1" s="1"/>
  <c r="Z47" i="1" s="1"/>
  <c r="Z55" i="1" s="1"/>
  <c r="Z63" i="1" s="1"/>
  <c r="G11" i="1" s="1"/>
  <c r="G27" i="1" s="1"/>
  <c r="G43" i="1" s="1"/>
  <c r="G59" i="1" s="1"/>
  <c r="X11" i="1" s="1"/>
  <c r="X27" i="1" s="1"/>
  <c r="X43" i="1" s="1"/>
  <c r="X59" i="1" s="1"/>
  <c r="I21" i="1" s="1"/>
  <c r="I53" i="1" s="1"/>
  <c r="V21" i="1" s="1"/>
  <c r="V53" i="1" s="1"/>
  <c r="K35" i="1" s="1"/>
  <c r="T35" i="1" s="1"/>
  <c r="O35" i="1" s="1"/>
  <c r="C34" i="2"/>
  <c r="E59" i="2"/>
  <c r="A59" i="2" s="1"/>
  <c r="B53" i="2"/>
  <c r="A38" i="2"/>
  <c r="C42" i="2"/>
  <c r="E56" i="2"/>
  <c r="A56" i="2" s="1"/>
  <c r="B38" i="2"/>
  <c r="E72" i="2"/>
  <c r="A72" i="2" s="1"/>
  <c r="E69" i="2"/>
  <c r="A69" i="2" s="1"/>
  <c r="B47" i="2"/>
  <c r="C24" i="2"/>
  <c r="A50" i="2"/>
  <c r="C29" i="2"/>
  <c r="I70" i="2"/>
  <c r="G72" i="2"/>
  <c r="B72" i="2" s="1"/>
  <c r="C72" i="2" s="1"/>
  <c r="G69" i="2"/>
  <c r="B69" i="2" s="1"/>
  <c r="C69" i="2" s="1"/>
  <c r="I65" i="2"/>
  <c r="B40" i="2"/>
  <c r="A42" i="2"/>
  <c r="C13" i="2"/>
  <c r="A45" i="2"/>
  <c r="C19" i="2"/>
  <c r="A53" i="2"/>
  <c r="C49" i="2"/>
  <c r="G66" i="2"/>
  <c r="B66" i="2" s="1"/>
  <c r="I62" i="2"/>
  <c r="B39" i="2"/>
  <c r="C62" i="2" l="1"/>
  <c r="C59" i="2"/>
  <c r="C55" i="2"/>
  <c r="C67" i="2"/>
  <c r="C70" i="2"/>
  <c r="C58" i="2"/>
  <c r="C56" i="2"/>
  <c r="C65" i="2"/>
  <c r="C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D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sharedStrings.xml><?xml version="1.0" encoding="utf-8"?>
<sst xmlns="http://schemas.openxmlformats.org/spreadsheetml/2006/main" count="71" uniqueCount="24">
  <si>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</si>
  <si>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</si>
  <si>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</si>
  <si>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</si>
  <si>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</si>
  <si>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</si>
  <si>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</si>
  <si>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</si>
  <si>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</si>
  <si>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</si>
  <si>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</si>
  <si>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</si>
  <si>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</si>
  <si>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Points: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</si>
  <si>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</si>
  <si>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</si>
  <si>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</si>
  <si>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</si>
  <si>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</si>
  <si>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</si>
  <si>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</si>
  <si>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</si>
  <si>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Team 1</t>
  </si>
  <si>
    <t>Team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</si>
</sst>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0"/>
      <color theme="1"/>
      <name val="Arial"/>
      <family val="2"/>
    </font>
    <font>
      <i/>
      <sz val="11"/>
      <color indexed="8"/>
      <name val="Arial"/>
      <family val="2"/>
    </font>
    <font>
      <b/>
      <sz val="18"/>
      <color indexed="8"/>
      <name val="Arial"/>
      <family val="2"/>
    </font>
    <font>
      <sz val="24"/>
      <color indexed="8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i/>
      <sz val="10"/>
      <color indexed="8"/>
      <name val="Arial"/>
      <family val="2"/>
    </font>
    <font>
      <b/>
      <sz val="13"/>
      <color indexed="9"/>
      <name val="Arial"/>
      <family val="2"/>
    </font>
    <font>
      <sz val="13"/>
      <color indexed="9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6"/>
      <color indexed="8"/>
      <name val="Arial"/>
      <family val="2"/>
    </font>
    <font>
      <sz val="6"/>
      <color indexed="23"/>
      <name val="Arial"/>
      <family val="2"/>
    </font>
    <font>
      <sz val="10"/>
      <name val="Arial"/>
      <family val="2"/>
    </font>
    <font>
      <i/>
      <sz val="8"/>
      <color indexed="55"/>
      <name val="Arial"/>
      <family val="2"/>
    </font>
    <font>
      <sz val="6"/>
      <color indexed="8"/>
      <name val="Arial"/>
      <family val="2"/>
    </font>
    <font>
      <b/>
      <sz val="10"/>
      <color theme="3"/>
      <name val="Arial"/>
      <family val="2"/>
    </font>
    <font>
      <b/>
      <sz val="11"/>
      <color theme="3"/>
      <name val="Arial"/>
      <family val="2"/>
    </font>
    <font>
      <sz val="9"/>
      <color theme="1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>
      <alignment vertical="top"/>
      <protection locked="0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4" fillId="0" borderId="5" xfId="0" applyFont="1" applyBorder="1"/>
    <xf numFmtId="0" fontId="4" fillId="0" borderId="6" xfId="0" applyFont="1" applyBorder="1"/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2" borderId="10" xfId="0" applyFont="1" applyFill="1" applyBorder="1" applyAlignment="1">
      <alignment horizontal="center"/>
    </xf>
    <xf numFmtId="0" fontId="12" fillId="2" borderId="13" xfId="0" applyFont="1" applyFill="1" applyBorder="1" applyAlignment="1">
      <alignment horizontal="center"/>
    </xf>
    <xf numFmtId="0" fontId="5" fillId="0" borderId="0" xfId="0" applyFont="1"/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12" fillId="0" borderId="0" xfId="0" applyFont="1" applyAlignment="1">
      <alignment horizontal="centerContinuous"/>
    </xf>
    <xf numFmtId="0" fontId="18" fillId="0" borderId="0" xfId="0" applyFont="1"/>
    <xf numFmtId="0" fontId="0" fillId="0" borderId="0" xfId="0" applyAlignment="1">
      <alignment vertical="center"/>
    </xf>
    <xf numFmtId="0" fontId="19" fillId="0" borderId="0" xfId="0" applyFont="1"/>
    <xf numFmtId="0" fontId="20" fillId="0" borderId="10" xfId="0" applyFont="1" applyBorder="1"/>
    <xf numFmtId="0" fontId="19" fillId="0" borderId="0" xfId="0" applyFont="1" applyAlignment="1">
      <alignment horizontal="right"/>
    </xf>
    <xf numFmtId="0" fontId="21" fillId="0" borderId="0" xfId="0" applyFont="1" applyAlignment="1">
      <alignment horizontal="centerContinuous"/>
    </xf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0" fillId="0" borderId="0" xfId="0" applyAlignment="1">
      <alignment horizontal="center" shrinkToFit="1"/>
    </xf>
    <xf numFmtId="0" fontId="0" fillId="0" borderId="10" xfId="0" applyBorder="1"/>
    <xf numFmtId="0" fontId="22" fillId="0" borderId="4" xfId="0" applyFont="1" applyBorder="1" applyAlignment="1">
      <alignment horizontal="right"/>
    </xf>
    <xf numFmtId="0" fontId="0" fillId="0" borderId="10" xfId="0" applyBorder="1" applyAlignment="1">
      <alignment horizontal="center" vertical="center" shrinkToFit="1"/>
    </xf>
    <xf numFmtId="0" fontId="0" fillId="0" borderId="11" xfId="0" applyBorder="1" applyAlignment="1">
      <alignment horizontal="center" vertical="center" shrinkToFit="1"/>
    </xf>
    <xf numFmtId="0" fontId="0" fillId="0" borderId="12" xfId="0" applyBorder="1" applyAlignment="1">
      <alignment horizontal="center" shrinkToFit="1"/>
    </xf>
    <xf numFmtId="0" fontId="0" fillId="0" borderId="10" xfId="0" applyBorder="1" applyAlignment="1">
      <alignment horizontal="center" shrinkToFit="1"/>
    </xf>
    <xf numFmtId="0" fontId="10" fillId="4" borderId="0" xfId="0" applyFont="1" applyFill="1"/>
    <xf numFmtId="0" fontId="11" fillId="4" borderId="0" xfId="0" applyFont="1" applyFill="1" applyAlignment="1">
      <alignment horizontal="right"/>
    </xf>
    <xf numFmtId="0" fontId="10" fillId="4" borderId="0" xfId="0" applyFont="1" applyFill="1" applyAlignment="1">
      <alignment horizontal="left"/>
    </xf>
    <xf numFmtId="0" fontId="10" fillId="4" borderId="0" xfId="0" applyFont="1" applyFill="1" applyAlignment="1">
      <alignment shrinkToFit="1"/>
    </xf>
    <xf numFmtId="0" fontId="10" fillId="4" borderId="0" xfId="0" applyFont="1" applyFill="1" applyAlignment="1">
      <alignment horizontal="left" shrinkToFit="1"/>
    </xf>
    <xf numFmtId="0" fontId="0" fillId="4" borderId="0" xfId="0" applyFill="1"/>
    <xf numFmtId="0" fontId="13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6" fillId="0" borderId="0" xfId="0" applyFont="1" applyAlignment="1">
      <alignment vertical="top" wrapText="1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0" fillId="0" borderId="10" xfId="0" applyBorder="1" applyAlignment="1">
      <alignment horizontal="right" shrinkToFit="1"/>
    </xf>
    <xf numFmtId="0" fontId="19" fillId="0" borderId="0" xfId="0" applyFont="1" applyAlignment="1">
      <alignment horizontal="right" shrinkToFit="1"/>
    </xf>
    <xf numFmtId="0" fontId="0" fillId="0" borderId="10" xfId="0" applyBorder="1" applyAlignment="1">
      <alignment shrinkToFit="1"/>
    </xf>
    <xf numFmtId="0" fontId="26" fillId="0" borderId="0" xfId="0" applyFont="1" applyAlignment="1">
      <alignment horizontal="left" vertical="top" wrapText="1"/>
    </xf>
    <xf numFmtId="0" fontId="0" fillId="0" borderId="15" xfId="0" applyBorder="1" applyAlignment="1">
      <alignment horizontal="center" shrinkToFit="1"/>
    </xf>
    <xf numFmtId="0" fontId="0" fillId="0" borderId="16" xfId="0" applyBorder="1" applyAlignment="1">
      <alignment horizontal="center" shrinkToFit="1"/>
    </xf>
    <xf numFmtId="0" fontId="0" fillId="0" borderId="17" xfId="0" applyBorder="1" applyAlignment="1">
      <alignment horizontal="center" shrinkToFit="1"/>
    </xf>
    <xf numFmtId="0" fontId="0" fillId="0" borderId="18" xfId="0" applyBorder="1" applyAlignment="1">
      <alignment horizontal="center" shrinkToFit="1"/>
    </xf>
    <xf numFmtId="0" fontId="0" fillId="0" borderId="14" xfId="0" applyBorder="1" applyAlignment="1">
      <alignment horizontal="center" shrinkToFit="1"/>
    </xf>
    <xf numFmtId="0" fontId="0" fillId="0" borderId="19" xfId="0" applyBorder="1" applyAlignment="1">
      <alignment horizontal="center" shrinkToFi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0" xfId="0" applyFont="1" applyAlignment="1">
      <alignment horizontal="center"/>
    </xf>
    <xf numFmtId="0" fontId="13" fillId="4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17" fillId="0" borderId="0" xfId="1" applyAlignment="1" applyProtection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6" borderId="0" xfId="0" applyFill="1"/>
    <xf numFmtId="0" fontId="0" fillId="6" borderId="0" xfId="0" applyFill="1" applyBorder="1"/>
    <xf numFmtId="0" fontId="0" fillId="6" borderId="0" xfId="0" applyFill="1" applyBorder="1" applyAlignment="1">
      <alignment horizontal="right"/>
    </xf>
    <xf numFmtId="0" fontId="0" fillId="6" borderId="0" xfId="0" applyFill="1" applyBorder="1" applyAlignment="1">
      <alignment horizontal="center"/>
    </xf>
    <xf numFmtId="0" fontId="0" fillId="6" borderId="0" xfId="0" applyFill="1" applyBorder="1" applyAlignment="1">
      <alignment horizontal="left"/>
    </xf>
    <xf numFmtId="0" fontId="25" fillId="6" borderId="0" xfId="0" applyFont="1" applyFill="1" applyBorder="1"/>
    <xf numFmtId="0" fontId="6" fillId="6" borderId="0" xfId="0" applyFont="1" applyFill="1" applyBorder="1" applyAlignment="1">
      <alignment horizontal="center"/>
    </xf>
    <xf numFmtId="0" fontId="10" fillId="6" borderId="0" xfId="0" applyFont="1" applyFill="1" applyBorder="1" applyAlignment="1">
      <alignment horizontal="center"/>
    </xf>
    <xf numFmtId="0" fontId="10" fillId="6" borderId="0" xfId="0" applyFont="1" applyFill="1" applyBorder="1"/>
    <xf numFmtId="0" fontId="0" fillId="6" borderId="0" xfId="0" applyFill="1" applyBorder="1" applyAlignment="1">
      <alignment shrinkToFit="1"/>
    </xf>
    <xf numFmtId="0" fontId="10" fillId="6" borderId="0" xfId="0" applyFont="1" applyFill="1" applyBorder="1" applyAlignment="1">
      <alignment shrinkToFit="1"/>
    </xf>
  </cellXfs>
  <cellStyles count="2">
    <cellStyle name="Hyperlink" xfId="1" builtinId="8"/>
    <cellStyle name="Normal" xfId="0" builtinId="0" customBuiltin="1"/>
  </cellStyles>
  <dxfs count="22"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C72"/>
  <sheetViews>
    <sheetView showGridLines="0" zoomScale="115" zoomScaleNormal="115" workbookViewId="0">
      <pane xSplit="9" ySplit="2" topLeftCell="J14" activePane="bottomRight" state="frozen"/>
      <selection activeCell="C1" sqref="C1"/>
      <selection pane="topRight" activeCell="H1" sqref="H1"/>
      <selection pane="bottomLeft" activeCell="C2" sqref="C2"/>
      <selection pane="bottomRight" activeCell="M34" sqref="M34"/>
    </sheetView>
  </sheetViews>
  <sheetFormatPr defaultColWidth="9.109375" defaultRowHeight="13.2" x14ac:dyDescent="0.25"/>
  <cols>
    <col min="1" max="1" width="8.109375" hidden="1" customWidth="1"/>
    <col min="2" max="4" width="8.88671875" hidden="1" customWidth="1"/>
    <col min="5" max="5" width="13.33203125" customWidth="1"/>
    <col min="6" max="6" width="9.5546875" customWidth="1"/>
    <col min="7" max="7" width="13.33203125" customWidth="1"/>
    <col min="8" max="8" width="11.109375" customWidth="1"/>
    <col min="9" max="9" width="9.6640625" bestFit="1" customWidth="1"/>
    <col min="10" max="10" width="11.33203125" style="87" customWidth="1"/>
    <col min="11" max="11" width="5.88671875" style="89" customWidth="1"/>
    <col min="12" max="12" width="11.33203125" style="87" customWidth="1"/>
    <col min="13" max="13" width="5.88671875" style="89" customWidth="1"/>
    <col min="14" max="14" width="11.33203125" style="87" customWidth="1"/>
    <col min="15" max="15" width="5.88671875" style="89" customWidth="1"/>
    <col min="16" max="16" width="9.109375" style="87"/>
    <col min="17" max="17" width="3.33203125" style="86" customWidth="1"/>
    <col min="18" max="23" width="9.109375" style="86"/>
    <col min="24" max="24" width="5" style="86" customWidth="1"/>
    <col min="25" max="25" width="9.109375" style="86"/>
    <col min="26" max="27" width="9.109375" style="86" hidden="1" customWidth="1"/>
    <col min="28" max="28" width="10.109375" style="86" hidden="1" customWidth="1"/>
    <col min="29" max="29" width="9.109375" style="86" hidden="1" customWidth="1"/>
    <col min="30" max="16384" width="9.109375" style="86"/>
  </cols>
  <sheetData>
    <row r="1" spans="1:25" ht="20.399999999999999" x14ac:dyDescent="0.35">
      <c r="E1" s="26" t="s">
        <v>14</v>
      </c>
    </row>
    <row r="2" spans="1:25" ht="15.6" x14ac:dyDescent="0.3">
      <c r="J2" s="92"/>
      <c r="K2" s="92"/>
      <c r="L2" s="92"/>
      <c r="M2" s="92"/>
      <c r="N2" s="92"/>
      <c r="O2" s="92"/>
    </row>
    <row r="3" spans="1:25" ht="13.8" x14ac:dyDescent="0.25">
      <c r="C3" t="s">
        <v>12</v>
      </c>
      <c r="D3" s="19" t="s">
        <v>11</v>
      </c>
      <c r="E3" s="41" t="str">
        <f>Bracket!C2</f>
        <v>First Round</v>
      </c>
      <c r="F3" s="41"/>
      <c r="G3" s="42"/>
      <c r="H3" s="43"/>
      <c r="I3" s="41" t="s">
        <v>8</v>
      </c>
      <c r="J3" s="94"/>
      <c r="K3" s="93"/>
      <c r="L3" s="94"/>
      <c r="M3" s="93"/>
      <c r="N3" s="94"/>
      <c r="O3" s="93"/>
      <c r="Q3" s="87"/>
      <c r="R3" s="87"/>
      <c r="S3" s="87"/>
      <c r="T3" s="87"/>
      <c r="U3" s="87"/>
      <c r="V3" s="87"/>
      <c r="W3" s="87"/>
      <c r="X3" s="87"/>
      <c r="Y3" s="87"/>
    </row>
    <row r="4" spans="1:25" ht="13.8" x14ac:dyDescent="0.25">
      <c r="D4" s="19"/>
      <c r="E4" s="41" t="s">
        <v>22</v>
      </c>
      <c r="F4" s="41"/>
      <c r="G4" s="42" t="s">
        <v>23</v>
      </c>
      <c r="H4" s="41" t="s">
        <v>10</v>
      </c>
      <c r="I4" s="41"/>
      <c r="J4" s="94"/>
      <c r="K4" s="93"/>
      <c r="L4" s="94"/>
      <c r="M4" s="93"/>
      <c r="N4" s="94"/>
      <c r="O4" s="93"/>
      <c r="Q4" s="87"/>
      <c r="R4" s="87"/>
      <c r="S4" s="87"/>
      <c r="T4" s="87"/>
      <c r="U4" s="87"/>
      <c r="V4" s="87"/>
      <c r="W4" s="87"/>
      <c r="X4" s="87"/>
      <c r="Y4" s="87"/>
    </row>
    <row r="5" spans="1:25" x14ac:dyDescent="0.25">
      <c r="A5">
        <f>E5</f>
        <v>0</v>
      </c>
      <c r="B5">
        <f>G5</f>
        <v>0</v>
      </c>
      <c r="C5" t="str">
        <f>IF(I5="","",IF(A5=I5,B5,A5))</f>
        <v/>
      </c>
      <c r="D5" t="e">
        <f t="shared" ref="D5:D36" si="0">IF(SeedType=1,0,IF(SeedType=2,VLOOKUP(I5,SeedInfo,2,FALSE)*1,MAX(VLOOKUP(I5,SeedInfo,2,FALSE)-VLOOKUP(C5,SeedInfo,2,FALSE),0)))</f>
        <v>#REF!</v>
      </c>
      <c r="E5" s="33">
        <f>Bracket!C5</f>
        <v>0</v>
      </c>
      <c r="F5" s="32"/>
      <c r="G5" s="33">
        <f>Bracket!C7</f>
        <v>0</v>
      </c>
      <c r="H5" s="1">
        <v>1</v>
      </c>
      <c r="I5" s="33"/>
      <c r="J5" s="95"/>
      <c r="L5" s="95"/>
      <c r="N5" s="95"/>
      <c r="Q5" s="87"/>
      <c r="R5" s="87"/>
      <c r="S5" s="87"/>
      <c r="T5" s="87"/>
      <c r="U5" s="87"/>
      <c r="V5" s="87"/>
      <c r="W5" s="87"/>
      <c r="X5" s="87"/>
      <c r="Y5" s="87"/>
    </row>
    <row r="6" spans="1:25" x14ac:dyDescent="0.25">
      <c r="A6">
        <f t="shared" ref="A6:A20" si="1">E6</f>
        <v>0</v>
      </c>
      <c r="B6">
        <f t="shared" ref="B6:B20" si="2">G6</f>
        <v>0</v>
      </c>
      <c r="C6" t="str">
        <f t="shared" ref="C6:C69" si="3">IF(I6="","",IF(A6=I6,B6,A6))</f>
        <v/>
      </c>
      <c r="D6" t="e">
        <f t="shared" si="0"/>
        <v>#REF!</v>
      </c>
      <c r="E6" s="33">
        <f>Bracket!C9</f>
        <v>0</v>
      </c>
      <c r="F6" s="32"/>
      <c r="G6" s="33">
        <f>Bracket!C11</f>
        <v>0</v>
      </c>
      <c r="H6" s="1">
        <v>2</v>
      </c>
      <c r="I6" s="33"/>
      <c r="J6" s="95"/>
      <c r="L6" s="95"/>
      <c r="N6" s="95"/>
      <c r="Q6" s="87"/>
      <c r="R6" s="87"/>
      <c r="S6" s="88"/>
      <c r="T6" s="89"/>
      <c r="U6" s="87"/>
      <c r="V6" s="87"/>
      <c r="W6" s="87"/>
      <c r="X6" s="87"/>
      <c r="Y6" s="87"/>
    </row>
    <row r="7" spans="1:25" x14ac:dyDescent="0.25">
      <c r="A7">
        <f t="shared" si="1"/>
        <v>0</v>
      </c>
      <c r="B7">
        <f t="shared" si="2"/>
        <v>0</v>
      </c>
      <c r="C7" t="str">
        <f t="shared" si="3"/>
        <v/>
      </c>
      <c r="D7" t="e">
        <f t="shared" si="0"/>
        <v>#REF!</v>
      </c>
      <c r="E7" s="33">
        <f>Bracket!C13</f>
        <v>0</v>
      </c>
      <c r="F7" s="32"/>
      <c r="G7" s="33">
        <f>Bracket!C15</f>
        <v>0</v>
      </c>
      <c r="H7" s="1">
        <v>3</v>
      </c>
      <c r="I7" s="33"/>
      <c r="J7" s="95"/>
      <c r="L7" s="95"/>
      <c r="N7" s="95"/>
      <c r="Q7" s="87"/>
      <c r="R7" s="87"/>
      <c r="S7" s="87"/>
      <c r="T7" s="87"/>
      <c r="U7" s="87"/>
      <c r="V7" s="87"/>
      <c r="W7" s="87"/>
      <c r="X7" s="87"/>
      <c r="Y7" s="87"/>
    </row>
    <row r="8" spans="1:25" x14ac:dyDescent="0.25">
      <c r="A8">
        <f t="shared" si="1"/>
        <v>0</v>
      </c>
      <c r="B8">
        <f t="shared" si="2"/>
        <v>0</v>
      </c>
      <c r="C8" t="str">
        <f t="shared" si="3"/>
        <v/>
      </c>
      <c r="D8" t="e">
        <f t="shared" si="0"/>
        <v>#REF!</v>
      </c>
      <c r="E8" s="33">
        <f>Bracket!C17</f>
        <v>0</v>
      </c>
      <c r="F8" s="32"/>
      <c r="G8" s="33">
        <f>Bracket!C19</f>
        <v>0</v>
      </c>
      <c r="H8" s="1">
        <v>4</v>
      </c>
      <c r="I8" s="33"/>
      <c r="J8" s="95"/>
      <c r="L8" s="95"/>
      <c r="N8" s="95"/>
      <c r="Q8" s="87"/>
      <c r="R8" s="87"/>
      <c r="S8" s="87"/>
      <c r="T8" s="87"/>
      <c r="U8" s="87"/>
      <c r="V8" s="87"/>
      <c r="W8" s="87"/>
      <c r="X8" s="87"/>
      <c r="Y8" s="87"/>
    </row>
    <row r="9" spans="1:25" x14ac:dyDescent="0.25">
      <c r="A9">
        <f t="shared" si="1"/>
        <v>0</v>
      </c>
      <c r="B9">
        <f t="shared" si="2"/>
        <v>0</v>
      </c>
      <c r="C9" t="str">
        <f t="shared" si="3"/>
        <v/>
      </c>
      <c r="D9" t="e">
        <f t="shared" si="0"/>
        <v>#REF!</v>
      </c>
      <c r="E9" s="33">
        <f>Bracket!C21</f>
        <v>0</v>
      </c>
      <c r="F9" s="32"/>
      <c r="G9" s="33">
        <f>Bracket!C23</f>
        <v>0</v>
      </c>
      <c r="H9" s="1">
        <v>5</v>
      </c>
      <c r="I9" s="33"/>
      <c r="J9" s="95"/>
      <c r="L9" s="95"/>
      <c r="N9" s="95"/>
      <c r="Q9" s="87"/>
      <c r="R9" s="87"/>
      <c r="S9" s="87"/>
      <c r="T9" s="87"/>
      <c r="U9" s="87"/>
      <c r="V9" s="87"/>
      <c r="W9" s="87"/>
      <c r="X9" s="87"/>
      <c r="Y9" s="87"/>
    </row>
    <row r="10" spans="1:25" x14ac:dyDescent="0.25">
      <c r="A10">
        <f t="shared" si="1"/>
        <v>0</v>
      </c>
      <c r="B10">
        <f t="shared" si="2"/>
        <v>0</v>
      </c>
      <c r="C10" t="str">
        <f t="shared" si="3"/>
        <v/>
      </c>
      <c r="D10" t="e">
        <f t="shared" si="0"/>
        <v>#REF!</v>
      </c>
      <c r="E10" s="33">
        <f>Bracket!C25</f>
        <v>0</v>
      </c>
      <c r="F10" s="32"/>
      <c r="G10" s="33">
        <f>Bracket!C27</f>
        <v>0</v>
      </c>
      <c r="H10" s="1">
        <v>6</v>
      </c>
      <c r="I10" s="33"/>
      <c r="J10" s="95"/>
      <c r="L10" s="95"/>
      <c r="N10" s="95"/>
      <c r="Q10" s="87"/>
      <c r="R10" s="87"/>
      <c r="S10" s="87"/>
      <c r="T10" s="87"/>
      <c r="U10" s="87"/>
      <c r="V10" s="87"/>
      <c r="W10" s="87"/>
      <c r="X10" s="87"/>
      <c r="Y10" s="87"/>
    </row>
    <row r="11" spans="1:25" x14ac:dyDescent="0.25">
      <c r="A11">
        <f t="shared" si="1"/>
        <v>0</v>
      </c>
      <c r="B11">
        <f t="shared" si="2"/>
        <v>0</v>
      </c>
      <c r="C11" t="str">
        <f t="shared" si="3"/>
        <v/>
      </c>
      <c r="D11" t="e">
        <f t="shared" si="0"/>
        <v>#REF!</v>
      </c>
      <c r="E11" s="33">
        <f>Bracket!C29</f>
        <v>0</v>
      </c>
      <c r="F11" s="32"/>
      <c r="G11" s="33">
        <f>Bracket!C31</f>
        <v>0</v>
      </c>
      <c r="H11" s="1">
        <v>7</v>
      </c>
      <c r="I11" s="33"/>
      <c r="J11" s="95"/>
      <c r="L11" s="95"/>
      <c r="N11" s="95"/>
      <c r="Q11" s="87"/>
      <c r="R11" s="89"/>
      <c r="S11" s="89"/>
      <c r="T11" s="89"/>
      <c r="U11" s="89"/>
      <c r="V11" s="89"/>
      <c r="W11" s="89"/>
      <c r="X11" s="87"/>
      <c r="Y11" s="87"/>
    </row>
    <row r="12" spans="1:25" x14ac:dyDescent="0.25">
      <c r="A12">
        <f t="shared" si="1"/>
        <v>0</v>
      </c>
      <c r="B12">
        <f t="shared" si="2"/>
        <v>0</v>
      </c>
      <c r="C12" t="str">
        <f t="shared" si="3"/>
        <v/>
      </c>
      <c r="D12" t="e">
        <f t="shared" si="0"/>
        <v>#REF!</v>
      </c>
      <c r="E12" s="33">
        <f>Bracket!C33</f>
        <v>0</v>
      </c>
      <c r="F12" s="32"/>
      <c r="G12" s="33">
        <f>Bracket!C35</f>
        <v>0</v>
      </c>
      <c r="H12" s="1">
        <v>8</v>
      </c>
      <c r="I12" s="33"/>
      <c r="J12" s="95"/>
      <c r="L12" s="95"/>
      <c r="N12" s="95"/>
      <c r="Q12" s="87"/>
      <c r="R12" s="89"/>
      <c r="S12" s="89"/>
      <c r="T12" s="89"/>
      <c r="U12" s="89"/>
      <c r="V12" s="89"/>
      <c r="W12" s="89"/>
      <c r="X12" s="87"/>
      <c r="Y12" s="87"/>
    </row>
    <row r="13" spans="1:25" x14ac:dyDescent="0.25">
      <c r="A13">
        <f t="shared" si="1"/>
        <v>0</v>
      </c>
      <c r="B13">
        <f t="shared" si="2"/>
        <v>0</v>
      </c>
      <c r="C13" t="str">
        <f t="shared" si="3"/>
        <v/>
      </c>
      <c r="D13" t="e">
        <f t="shared" si="0"/>
        <v>#REF!</v>
      </c>
      <c r="E13" s="33">
        <f>Bracket!C37</f>
        <v>0</v>
      </c>
      <c r="F13" s="32"/>
      <c r="G13" s="33">
        <f>Bracket!C39</f>
        <v>0</v>
      </c>
      <c r="H13" s="1">
        <v>9</v>
      </c>
      <c r="I13" s="33"/>
      <c r="J13" s="95"/>
      <c r="L13" s="95"/>
      <c r="N13" s="95"/>
      <c r="Q13" s="87"/>
      <c r="R13" s="87"/>
      <c r="S13" s="87"/>
      <c r="T13" s="87"/>
      <c r="U13" s="87"/>
      <c r="V13" s="87"/>
      <c r="W13" s="87"/>
      <c r="X13" s="87"/>
      <c r="Y13" s="87"/>
    </row>
    <row r="14" spans="1:25" x14ac:dyDescent="0.25">
      <c r="A14">
        <f t="shared" si="1"/>
        <v>0</v>
      </c>
      <c r="B14">
        <f t="shared" si="2"/>
        <v>0</v>
      </c>
      <c r="C14" t="str">
        <f t="shared" si="3"/>
        <v/>
      </c>
      <c r="D14" t="e">
        <f t="shared" si="0"/>
        <v>#REF!</v>
      </c>
      <c r="E14" s="33">
        <f>Bracket!C41</f>
        <v>0</v>
      </c>
      <c r="F14" s="32"/>
      <c r="G14" s="33">
        <f>Bracket!C43</f>
        <v>0</v>
      </c>
      <c r="H14" s="1">
        <v>10</v>
      </c>
      <c r="I14" s="33"/>
      <c r="J14" s="95"/>
      <c r="L14" s="95"/>
      <c r="N14" s="95"/>
      <c r="Q14" s="87"/>
      <c r="R14" s="87"/>
      <c r="S14" s="87"/>
      <c r="T14" s="87"/>
      <c r="U14" s="87"/>
      <c r="V14" s="87"/>
      <c r="W14" s="87"/>
      <c r="X14" s="87"/>
      <c r="Y14" s="87"/>
    </row>
    <row r="15" spans="1:25" x14ac:dyDescent="0.25">
      <c r="A15">
        <f t="shared" si="1"/>
        <v>0</v>
      </c>
      <c r="B15">
        <f t="shared" si="2"/>
        <v>0</v>
      </c>
      <c r="C15" t="str">
        <f t="shared" si="3"/>
        <v/>
      </c>
      <c r="D15" t="e">
        <f t="shared" si="0"/>
        <v>#REF!</v>
      </c>
      <c r="E15" s="33">
        <f>Bracket!C45</f>
        <v>0</v>
      </c>
      <c r="F15" s="32"/>
      <c r="G15" s="33">
        <f>Bracket!C47</f>
        <v>0</v>
      </c>
      <c r="H15" s="1">
        <v>11</v>
      </c>
      <c r="I15" s="33"/>
      <c r="J15" s="95"/>
      <c r="L15" s="95"/>
      <c r="N15" s="95"/>
      <c r="Q15" s="87"/>
      <c r="R15" s="87"/>
      <c r="S15" s="87"/>
      <c r="T15" s="87"/>
      <c r="U15" s="87"/>
      <c r="V15" s="87"/>
      <c r="W15" s="87"/>
      <c r="X15" s="87"/>
      <c r="Y15" s="87"/>
    </row>
    <row r="16" spans="1:25" x14ac:dyDescent="0.25">
      <c r="A16">
        <f t="shared" si="1"/>
        <v>0</v>
      </c>
      <c r="B16">
        <f t="shared" si="2"/>
        <v>0</v>
      </c>
      <c r="C16" t="str">
        <f t="shared" si="3"/>
        <v/>
      </c>
      <c r="D16" t="e">
        <f t="shared" si="0"/>
        <v>#REF!</v>
      </c>
      <c r="E16" s="33">
        <f>Bracket!C49</f>
        <v>0</v>
      </c>
      <c r="F16" s="32"/>
      <c r="G16" s="33">
        <f>Bracket!C51</f>
        <v>0</v>
      </c>
      <c r="H16" s="1">
        <v>12</v>
      </c>
      <c r="I16" s="33"/>
      <c r="J16" s="95"/>
      <c r="L16" s="95"/>
      <c r="N16" s="95"/>
      <c r="Q16" s="87"/>
      <c r="R16" s="87"/>
      <c r="S16" s="87"/>
      <c r="T16" s="87"/>
      <c r="U16" s="87"/>
      <c r="V16" s="87"/>
      <c r="W16" s="87"/>
      <c r="X16" s="87"/>
      <c r="Y16" s="87"/>
    </row>
    <row r="17" spans="1:25" x14ac:dyDescent="0.25">
      <c r="A17">
        <f t="shared" si="1"/>
        <v>0</v>
      </c>
      <c r="B17">
        <f t="shared" si="2"/>
        <v>0</v>
      </c>
      <c r="C17" t="str">
        <f t="shared" si="3"/>
        <v/>
      </c>
      <c r="D17" t="e">
        <f t="shared" si="0"/>
        <v>#REF!</v>
      </c>
      <c r="E17" s="33">
        <f>Bracket!C53</f>
        <v>0</v>
      </c>
      <c r="F17" s="32"/>
      <c r="G17" s="33">
        <f>Bracket!C55</f>
        <v>0</v>
      </c>
      <c r="H17" s="1">
        <v>13</v>
      </c>
      <c r="I17" s="33"/>
      <c r="J17" s="95"/>
      <c r="L17" s="95"/>
      <c r="N17" s="95"/>
      <c r="Q17" s="87"/>
      <c r="R17" s="87"/>
      <c r="S17" s="87"/>
      <c r="T17" s="87"/>
      <c r="U17" s="87"/>
      <c r="V17" s="87"/>
      <c r="W17" s="87"/>
      <c r="X17" s="87"/>
      <c r="Y17" s="87"/>
    </row>
    <row r="18" spans="1:25" x14ac:dyDescent="0.25">
      <c r="A18">
        <f t="shared" si="1"/>
        <v>0</v>
      </c>
      <c r="B18">
        <f t="shared" si="2"/>
        <v>0</v>
      </c>
      <c r="C18" t="str">
        <f t="shared" si="3"/>
        <v/>
      </c>
      <c r="D18" t="e">
        <f t="shared" si="0"/>
        <v>#REF!</v>
      </c>
      <c r="E18" s="33">
        <f>Bracket!C57</f>
        <v>0</v>
      </c>
      <c r="F18" s="32"/>
      <c r="G18" s="33">
        <f>Bracket!C59</f>
        <v>0</v>
      </c>
      <c r="H18" s="1">
        <v>14</v>
      </c>
      <c r="I18" s="33"/>
      <c r="J18" s="95"/>
      <c r="L18" s="95"/>
      <c r="N18" s="95"/>
      <c r="Q18" s="87"/>
      <c r="R18" s="87"/>
      <c r="S18" s="87"/>
      <c r="T18" s="87"/>
      <c r="U18" s="87"/>
      <c r="V18" s="87"/>
      <c r="W18" s="87"/>
      <c r="X18" s="87"/>
      <c r="Y18" s="87"/>
    </row>
    <row r="19" spans="1:25" x14ac:dyDescent="0.25">
      <c r="A19">
        <f t="shared" si="1"/>
        <v>0</v>
      </c>
      <c r="B19">
        <f t="shared" si="2"/>
        <v>0</v>
      </c>
      <c r="C19" t="str">
        <f t="shared" si="3"/>
        <v/>
      </c>
      <c r="D19" t="e">
        <f t="shared" si="0"/>
        <v>#REF!</v>
      </c>
      <c r="E19" s="33">
        <f>Bracket!C61</f>
        <v>0</v>
      </c>
      <c r="F19" s="32"/>
      <c r="G19" s="33">
        <f>Bracket!C63</f>
        <v>0</v>
      </c>
      <c r="H19" s="1">
        <v>15</v>
      </c>
      <c r="I19" s="33"/>
      <c r="J19" s="95"/>
      <c r="L19" s="95"/>
      <c r="N19" s="95"/>
      <c r="Q19" s="87"/>
      <c r="R19" s="87"/>
      <c r="S19" s="87"/>
      <c r="T19" s="87"/>
      <c r="U19" s="87"/>
      <c r="V19" s="87"/>
      <c r="W19" s="87"/>
      <c r="X19" s="87"/>
      <c r="Y19" s="87"/>
    </row>
    <row r="20" spans="1:25" x14ac:dyDescent="0.25">
      <c r="A20">
        <f t="shared" si="1"/>
        <v>0</v>
      </c>
      <c r="B20">
        <f t="shared" si="2"/>
        <v>0</v>
      </c>
      <c r="C20" t="str">
        <f t="shared" si="3"/>
        <v/>
      </c>
      <c r="D20" t="e">
        <f t="shared" si="0"/>
        <v>#REF!</v>
      </c>
      <c r="E20" s="33">
        <f>Bracket!C65</f>
        <v>0</v>
      </c>
      <c r="F20" s="32"/>
      <c r="G20" s="33">
        <f>Bracket!C67</f>
        <v>0</v>
      </c>
      <c r="H20" s="1">
        <v>16</v>
      </c>
      <c r="I20" s="33"/>
      <c r="J20" s="95"/>
      <c r="L20" s="95"/>
      <c r="N20" s="95"/>
      <c r="Q20" s="87"/>
      <c r="R20" s="87"/>
      <c r="S20" s="87"/>
      <c r="T20" s="87"/>
      <c r="U20" s="87"/>
      <c r="V20" s="87"/>
      <c r="W20" s="87"/>
      <c r="X20" s="87"/>
      <c r="Y20" s="87"/>
    </row>
    <row r="21" spans="1:25" x14ac:dyDescent="0.25">
      <c r="A21">
        <f t="shared" ref="A21:A36" si="4">E21</f>
        <v>0</v>
      </c>
      <c r="B21">
        <f t="shared" ref="B21:B36" si="5">G21</f>
        <v>0</v>
      </c>
      <c r="C21" t="str">
        <f t="shared" si="3"/>
        <v/>
      </c>
      <c r="D21" t="e">
        <f t="shared" si="0"/>
        <v>#REF!</v>
      </c>
      <c r="E21" s="33">
        <f>Bracket!AB5</f>
        <v>0</v>
      </c>
      <c r="F21" s="32"/>
      <c r="G21" s="33">
        <f>Bracket!AB7</f>
        <v>0</v>
      </c>
      <c r="H21" s="1">
        <v>17</v>
      </c>
      <c r="I21" s="33"/>
      <c r="J21" s="95"/>
      <c r="L21" s="95"/>
      <c r="N21" s="95"/>
      <c r="Q21" s="87"/>
      <c r="R21" s="87"/>
      <c r="S21" s="87"/>
      <c r="T21" s="87"/>
      <c r="U21" s="87"/>
      <c r="V21" s="87"/>
      <c r="W21" s="87"/>
      <c r="X21" s="87"/>
      <c r="Y21" s="87"/>
    </row>
    <row r="22" spans="1:25" x14ac:dyDescent="0.25">
      <c r="A22">
        <f t="shared" si="4"/>
        <v>0</v>
      </c>
      <c r="B22">
        <f t="shared" si="5"/>
        <v>0</v>
      </c>
      <c r="C22" t="str">
        <f t="shared" si="3"/>
        <v/>
      </c>
      <c r="D22" t="e">
        <f t="shared" si="0"/>
        <v>#REF!</v>
      </c>
      <c r="E22" s="33">
        <f>Bracket!AB9</f>
        <v>0</v>
      </c>
      <c r="F22" s="32"/>
      <c r="G22" s="33">
        <f>Bracket!AB11</f>
        <v>0</v>
      </c>
      <c r="H22" s="1">
        <v>18</v>
      </c>
      <c r="I22" s="33"/>
      <c r="J22" s="95"/>
      <c r="L22" s="95"/>
      <c r="N22" s="95"/>
      <c r="Q22" s="87"/>
      <c r="R22" s="87"/>
      <c r="S22" s="88"/>
      <c r="T22" s="90"/>
      <c r="U22" s="90"/>
      <c r="V22" s="90"/>
      <c r="W22" s="87"/>
      <c r="X22" s="87"/>
      <c r="Y22" s="87"/>
    </row>
    <row r="23" spans="1:25" x14ac:dyDescent="0.25">
      <c r="A23">
        <f t="shared" si="4"/>
        <v>0</v>
      </c>
      <c r="B23">
        <f t="shared" si="5"/>
        <v>0</v>
      </c>
      <c r="C23" t="str">
        <f t="shared" si="3"/>
        <v/>
      </c>
      <c r="D23" t="e">
        <f t="shared" si="0"/>
        <v>#REF!</v>
      </c>
      <c r="E23" s="33">
        <f>Bracket!AB13</f>
        <v>0</v>
      </c>
      <c r="F23" s="32"/>
      <c r="G23" s="33">
        <f>Bracket!AB15</f>
        <v>0</v>
      </c>
      <c r="H23" s="1">
        <v>19</v>
      </c>
      <c r="I23" s="33"/>
      <c r="J23" s="95"/>
      <c r="L23" s="95"/>
      <c r="N23" s="95"/>
      <c r="Q23" s="87"/>
      <c r="R23" s="87"/>
      <c r="S23" s="87"/>
      <c r="T23" s="91"/>
      <c r="U23" s="87"/>
      <c r="V23" s="87"/>
      <c r="W23" s="87"/>
      <c r="X23" s="87"/>
      <c r="Y23" s="87"/>
    </row>
    <row r="24" spans="1:25" x14ac:dyDescent="0.25">
      <c r="A24">
        <f t="shared" si="4"/>
        <v>0</v>
      </c>
      <c r="B24">
        <f t="shared" si="5"/>
        <v>0</v>
      </c>
      <c r="C24" t="str">
        <f t="shared" si="3"/>
        <v/>
      </c>
      <c r="D24" t="e">
        <f t="shared" si="0"/>
        <v>#REF!</v>
      </c>
      <c r="E24" s="33">
        <f>Bracket!AB17</f>
        <v>0</v>
      </c>
      <c r="F24" s="32"/>
      <c r="G24" s="33">
        <f>Bracket!AB19</f>
        <v>0</v>
      </c>
      <c r="H24" s="1">
        <v>20</v>
      </c>
      <c r="I24" s="33"/>
      <c r="J24" s="95"/>
      <c r="L24" s="95"/>
      <c r="N24" s="95"/>
      <c r="Q24" s="87"/>
      <c r="R24" s="87"/>
      <c r="S24" s="87"/>
      <c r="T24" s="87"/>
      <c r="U24" s="87"/>
      <c r="V24" s="87"/>
      <c r="W24" s="87"/>
      <c r="X24" s="87"/>
      <c r="Y24" s="87"/>
    </row>
    <row r="25" spans="1:25" x14ac:dyDescent="0.25">
      <c r="A25">
        <f t="shared" si="4"/>
        <v>0</v>
      </c>
      <c r="B25">
        <f t="shared" si="5"/>
        <v>0</v>
      </c>
      <c r="C25" t="str">
        <f t="shared" si="3"/>
        <v/>
      </c>
      <c r="D25" t="e">
        <f t="shared" si="0"/>
        <v>#REF!</v>
      </c>
      <c r="E25" s="33">
        <f>Bracket!AB21</f>
        <v>0</v>
      </c>
      <c r="F25" s="32"/>
      <c r="G25" s="33">
        <f>Bracket!AB23</f>
        <v>0</v>
      </c>
      <c r="H25" s="1">
        <v>21</v>
      </c>
      <c r="I25" s="33"/>
      <c r="J25" s="95"/>
      <c r="L25" s="95"/>
      <c r="N25" s="95"/>
      <c r="Q25" s="87"/>
      <c r="R25" s="87"/>
      <c r="S25" s="87"/>
      <c r="T25" s="87"/>
      <c r="U25" s="87"/>
      <c r="V25" s="87"/>
      <c r="W25" s="87"/>
      <c r="X25" s="87"/>
      <c r="Y25" s="87"/>
    </row>
    <row r="26" spans="1:25" x14ac:dyDescent="0.25">
      <c r="A26">
        <f t="shared" si="4"/>
        <v>0</v>
      </c>
      <c r="B26">
        <f t="shared" si="5"/>
        <v>0</v>
      </c>
      <c r="C26" t="str">
        <f t="shared" si="3"/>
        <v/>
      </c>
      <c r="D26" t="e">
        <f t="shared" si="0"/>
        <v>#REF!</v>
      </c>
      <c r="E26" s="33">
        <f>Bracket!AB25</f>
        <v>0</v>
      </c>
      <c r="F26" s="32"/>
      <c r="G26" s="33">
        <f>Bracket!AB27</f>
        <v>0</v>
      </c>
      <c r="H26" s="1">
        <v>22</v>
      </c>
      <c r="I26" s="33"/>
      <c r="J26" s="95"/>
      <c r="L26" s="95"/>
      <c r="N26" s="95"/>
      <c r="Q26" s="87"/>
      <c r="R26" s="87"/>
      <c r="S26" s="87"/>
      <c r="T26" s="87"/>
      <c r="U26" s="87"/>
      <c r="V26" s="87"/>
      <c r="W26" s="87"/>
      <c r="X26" s="87"/>
      <c r="Y26" s="87"/>
    </row>
    <row r="27" spans="1:25" x14ac:dyDescent="0.25">
      <c r="A27">
        <f t="shared" si="4"/>
        <v>0</v>
      </c>
      <c r="B27">
        <f t="shared" si="5"/>
        <v>0</v>
      </c>
      <c r="C27" t="str">
        <f t="shared" si="3"/>
        <v/>
      </c>
      <c r="D27" t="e">
        <f t="shared" si="0"/>
        <v>#REF!</v>
      </c>
      <c r="E27" s="33">
        <f>Bracket!AB29</f>
        <v>0</v>
      </c>
      <c r="F27" s="32"/>
      <c r="G27" s="33">
        <f>Bracket!AB31</f>
        <v>0</v>
      </c>
      <c r="H27" s="1">
        <v>23</v>
      </c>
      <c r="I27" s="33"/>
      <c r="J27" s="95"/>
      <c r="L27" s="95"/>
      <c r="N27" s="95"/>
      <c r="Q27" s="87"/>
      <c r="R27" s="87"/>
      <c r="S27" s="87"/>
      <c r="T27" s="87"/>
      <c r="U27" s="87"/>
      <c r="V27" s="87"/>
      <c r="W27" s="87"/>
      <c r="X27" s="87"/>
      <c r="Y27" s="87"/>
    </row>
    <row r="28" spans="1:25" x14ac:dyDescent="0.25">
      <c r="A28">
        <f t="shared" si="4"/>
        <v>0</v>
      </c>
      <c r="B28">
        <f t="shared" si="5"/>
        <v>0</v>
      </c>
      <c r="C28" t="str">
        <f t="shared" si="3"/>
        <v/>
      </c>
      <c r="D28" t="e">
        <f t="shared" si="0"/>
        <v>#REF!</v>
      </c>
      <c r="E28" s="33">
        <f>Bracket!AB33</f>
        <v>0</v>
      </c>
      <c r="F28" s="32"/>
      <c r="G28" s="33">
        <f>Bracket!AB35</f>
        <v>0</v>
      </c>
      <c r="H28" s="1">
        <v>24</v>
      </c>
      <c r="I28" s="33"/>
      <c r="J28" s="95"/>
      <c r="L28" s="95"/>
      <c r="N28" s="95"/>
      <c r="Q28" s="87"/>
      <c r="R28" s="87"/>
      <c r="S28" s="87"/>
      <c r="T28" s="87"/>
      <c r="U28" s="87"/>
      <c r="V28" s="87"/>
      <c r="W28" s="87"/>
      <c r="X28" s="87"/>
      <c r="Y28" s="87"/>
    </row>
    <row r="29" spans="1:25" x14ac:dyDescent="0.25">
      <c r="A29">
        <f t="shared" si="4"/>
        <v>0</v>
      </c>
      <c r="B29">
        <f t="shared" si="5"/>
        <v>0</v>
      </c>
      <c r="C29" t="str">
        <f t="shared" si="3"/>
        <v/>
      </c>
      <c r="D29" t="e">
        <f t="shared" si="0"/>
        <v>#REF!</v>
      </c>
      <c r="E29" s="33">
        <f>Bracket!AB37</f>
        <v>0</v>
      </c>
      <c r="F29" s="32"/>
      <c r="G29" s="33">
        <f>Bracket!AB39</f>
        <v>0</v>
      </c>
      <c r="H29" s="1">
        <v>25</v>
      </c>
      <c r="I29" s="33"/>
      <c r="J29" s="95"/>
      <c r="L29" s="95"/>
      <c r="N29" s="95"/>
      <c r="Q29" s="87"/>
      <c r="R29" s="87"/>
      <c r="S29" s="87"/>
      <c r="T29" s="87"/>
      <c r="U29" s="87"/>
      <c r="V29" s="87"/>
      <c r="W29" s="87"/>
      <c r="X29" s="87"/>
      <c r="Y29" s="87"/>
    </row>
    <row r="30" spans="1:25" x14ac:dyDescent="0.25">
      <c r="A30">
        <f t="shared" si="4"/>
        <v>0</v>
      </c>
      <c r="B30">
        <f t="shared" si="5"/>
        <v>0</v>
      </c>
      <c r="C30" t="str">
        <f t="shared" si="3"/>
        <v/>
      </c>
      <c r="D30" t="e">
        <f t="shared" si="0"/>
        <v>#REF!</v>
      </c>
      <c r="E30" s="33">
        <f>Bracket!AB41</f>
        <v>0</v>
      </c>
      <c r="F30" s="32"/>
      <c r="G30" s="33">
        <f>Bracket!AB43</f>
        <v>0</v>
      </c>
      <c r="H30" s="1">
        <v>26</v>
      </c>
      <c r="I30" s="33"/>
      <c r="J30" s="95"/>
      <c r="L30" s="95"/>
      <c r="N30" s="95"/>
      <c r="Q30" s="87"/>
      <c r="R30" s="87"/>
      <c r="S30" s="87"/>
      <c r="T30" s="87"/>
      <c r="U30" s="87"/>
      <c r="V30" s="87"/>
      <c r="W30" s="87"/>
      <c r="X30" s="87"/>
      <c r="Y30" s="87"/>
    </row>
    <row r="31" spans="1:25" x14ac:dyDescent="0.25">
      <c r="A31">
        <f t="shared" si="4"/>
        <v>0</v>
      </c>
      <c r="B31">
        <f t="shared" si="5"/>
        <v>0</v>
      </c>
      <c r="C31" t="str">
        <f t="shared" si="3"/>
        <v/>
      </c>
      <c r="D31" t="e">
        <f t="shared" si="0"/>
        <v>#REF!</v>
      </c>
      <c r="E31" s="33">
        <f>Bracket!AB45</f>
        <v>0</v>
      </c>
      <c r="F31" s="32"/>
      <c r="G31" s="33">
        <f>Bracket!AB47</f>
        <v>0</v>
      </c>
      <c r="H31" s="1">
        <v>27</v>
      </c>
      <c r="I31" s="33"/>
      <c r="J31" s="95"/>
      <c r="L31" s="95"/>
      <c r="N31" s="95"/>
      <c r="Q31" s="87"/>
      <c r="R31" s="87"/>
      <c r="S31" s="87"/>
      <c r="T31" s="87"/>
      <c r="U31" s="87"/>
      <c r="V31" s="87"/>
      <c r="W31" s="87"/>
      <c r="X31" s="87"/>
      <c r="Y31" s="87"/>
    </row>
    <row r="32" spans="1:25" x14ac:dyDescent="0.25">
      <c r="A32">
        <f t="shared" si="4"/>
        <v>0</v>
      </c>
      <c r="B32">
        <f t="shared" si="5"/>
        <v>0</v>
      </c>
      <c r="C32" t="str">
        <f t="shared" si="3"/>
        <v/>
      </c>
      <c r="D32" t="e">
        <f t="shared" si="0"/>
        <v>#REF!</v>
      </c>
      <c r="E32" s="33">
        <f>Bracket!AB49</f>
        <v>0</v>
      </c>
      <c r="F32" s="32"/>
      <c r="G32" s="33">
        <f>Bracket!AB51</f>
        <v>0</v>
      </c>
      <c r="H32" s="1">
        <v>28</v>
      </c>
      <c r="I32" s="33"/>
      <c r="J32" s="95"/>
      <c r="L32" s="95"/>
      <c r="N32" s="95"/>
      <c r="Q32" s="87"/>
      <c r="R32" s="87"/>
      <c r="S32" s="87"/>
      <c r="T32" s="87"/>
      <c r="U32" s="87"/>
      <c r="V32" s="87"/>
      <c r="W32" s="87"/>
      <c r="X32" s="87"/>
      <c r="Y32" s="87"/>
    </row>
    <row r="33" spans="1:25" x14ac:dyDescent="0.25">
      <c r="A33">
        <f t="shared" si="4"/>
        <v>0</v>
      </c>
      <c r="B33">
        <f t="shared" si="5"/>
        <v>0</v>
      </c>
      <c r="C33" t="str">
        <f t="shared" si="3"/>
        <v/>
      </c>
      <c r="D33" t="e">
        <f t="shared" si="0"/>
        <v>#REF!</v>
      </c>
      <c r="E33" s="33">
        <f>Bracket!AB53</f>
        <v>0</v>
      </c>
      <c r="F33" s="32"/>
      <c r="G33" s="33">
        <f>Bracket!AB55</f>
        <v>0</v>
      </c>
      <c r="H33" s="1">
        <v>29</v>
      </c>
      <c r="I33" s="33"/>
      <c r="J33" s="95"/>
      <c r="L33" s="95"/>
      <c r="N33" s="95"/>
      <c r="Q33" s="87"/>
      <c r="R33" s="87"/>
      <c r="S33" s="87"/>
      <c r="T33" s="87"/>
      <c r="U33" s="87"/>
      <c r="V33" s="87"/>
      <c r="W33" s="87"/>
      <c r="X33" s="87"/>
      <c r="Y33" s="87"/>
    </row>
    <row r="34" spans="1:25" x14ac:dyDescent="0.25">
      <c r="A34">
        <f t="shared" si="4"/>
        <v>0</v>
      </c>
      <c r="B34">
        <f t="shared" si="5"/>
        <v>0</v>
      </c>
      <c r="C34" t="str">
        <f t="shared" si="3"/>
        <v/>
      </c>
      <c r="D34" t="e">
        <f t="shared" si="0"/>
        <v>#REF!</v>
      </c>
      <c r="E34" s="33">
        <f>Bracket!AB57</f>
        <v>0</v>
      </c>
      <c r="F34" s="32"/>
      <c r="G34" s="33">
        <f>Bracket!AB59</f>
        <v>0</v>
      </c>
      <c r="H34" s="1">
        <v>30</v>
      </c>
      <c r="I34" s="33"/>
      <c r="J34" s="95"/>
      <c r="L34" s="95"/>
      <c r="N34" s="95"/>
      <c r="Q34" s="87"/>
      <c r="R34" s="87"/>
      <c r="S34" s="87"/>
      <c r="T34" s="87"/>
      <c r="U34" s="87"/>
      <c r="V34" s="87"/>
      <c r="W34" s="87"/>
      <c r="X34" s="87"/>
      <c r="Y34" s="87"/>
    </row>
    <row r="35" spans="1:25" x14ac:dyDescent="0.25">
      <c r="A35">
        <f t="shared" si="4"/>
        <v>0</v>
      </c>
      <c r="B35">
        <f t="shared" si="5"/>
        <v>0</v>
      </c>
      <c r="C35" t="str">
        <f t="shared" si="3"/>
        <v/>
      </c>
      <c r="D35" t="e">
        <f t="shared" si="0"/>
        <v>#REF!</v>
      </c>
      <c r="E35" s="33">
        <f>Bracket!AB61</f>
        <v>0</v>
      </c>
      <c r="F35" s="32"/>
      <c r="G35" s="33">
        <f>Bracket!AB63</f>
        <v>0</v>
      </c>
      <c r="H35" s="1">
        <v>31</v>
      </c>
      <c r="I35" s="33"/>
      <c r="J35" s="95"/>
      <c r="L35" s="95"/>
      <c r="N35" s="95"/>
      <c r="Q35" s="87"/>
      <c r="R35" s="87"/>
      <c r="S35" s="87"/>
      <c r="T35" s="87"/>
      <c r="U35" s="87"/>
      <c r="V35" s="87"/>
      <c r="W35" s="87"/>
      <c r="X35" s="87"/>
      <c r="Y35" s="87"/>
    </row>
    <row r="36" spans="1:25" x14ac:dyDescent="0.25">
      <c r="A36">
        <f t="shared" si="4"/>
        <v>0</v>
      </c>
      <c r="B36">
        <f t="shared" si="5"/>
        <v>0</v>
      </c>
      <c r="C36" t="str">
        <f t="shared" si="3"/>
        <v/>
      </c>
      <c r="D36" t="e">
        <f t="shared" si="0"/>
        <v>#REF!</v>
      </c>
      <c r="E36" s="33">
        <f>Bracket!AB65</f>
        <v>0</v>
      </c>
      <c r="F36" s="32"/>
      <c r="G36" s="33">
        <f>Bracket!AB67</f>
        <v>0</v>
      </c>
      <c r="H36" s="1">
        <v>32</v>
      </c>
      <c r="I36" s="33"/>
      <c r="J36" s="95"/>
      <c r="L36" s="95"/>
      <c r="N36" s="95"/>
      <c r="Q36" s="87"/>
      <c r="R36" s="87"/>
      <c r="S36" s="87"/>
      <c r="T36" s="87"/>
      <c r="U36" s="87"/>
      <c r="V36" s="87"/>
      <c r="W36" s="87"/>
      <c r="X36" s="87"/>
      <c r="Y36" s="87"/>
    </row>
    <row r="37" spans="1:25" ht="13.8" x14ac:dyDescent="0.25">
      <c r="E37" s="41" t="str">
        <f>Bracket!E2</f>
        <v>Second Round</v>
      </c>
      <c r="F37" s="42"/>
      <c r="G37" s="43"/>
      <c r="H37" s="41" t="s">
        <v>10</v>
      </c>
      <c r="I37" s="41" t="s">
        <v>8</v>
      </c>
      <c r="J37" s="94"/>
      <c r="K37" s="93"/>
      <c r="L37" s="94"/>
      <c r="M37" s="93"/>
      <c r="N37" s="94"/>
      <c r="O37" s="93"/>
      <c r="Q37" s="87"/>
      <c r="R37" s="87"/>
      <c r="S37" s="87"/>
      <c r="T37" s="87"/>
      <c r="U37" s="87"/>
      <c r="V37" s="87"/>
      <c r="W37" s="87"/>
      <c r="X37" s="87"/>
      <c r="Y37" s="87"/>
    </row>
    <row r="38" spans="1:25" x14ac:dyDescent="0.25">
      <c r="A38">
        <f>E38</f>
        <v>0</v>
      </c>
      <c r="B38">
        <f>G38</f>
        <v>0</v>
      </c>
      <c r="C38" t="str">
        <f t="shared" si="3"/>
        <v/>
      </c>
      <c r="D38" t="e">
        <f t="shared" ref="D38:D53" si="6">IF(SeedType=1,0,IF(SeedType=2,VLOOKUP(I38,SeedInfo,2,FALSE)*2,MAX(VLOOKUP(I38,SeedInfo,2,FALSE)-VLOOKUP(C38,SeedInfo,2,FALSE),0)))</f>
        <v>#REF!</v>
      </c>
      <c r="E38" s="34"/>
      <c r="F38" s="1" t="s">
        <v>9</v>
      </c>
      <c r="G38" s="34"/>
      <c r="H38" s="1">
        <f>Bracket!E7</f>
        <v>33</v>
      </c>
      <c r="I38" s="33"/>
      <c r="J38" s="95"/>
      <c r="L38" s="95"/>
      <c r="N38" s="95"/>
      <c r="Q38" s="87"/>
      <c r="R38" s="87"/>
      <c r="S38" s="87"/>
      <c r="T38" s="87"/>
      <c r="U38" s="87"/>
      <c r="V38" s="87"/>
      <c r="W38" s="87"/>
      <c r="X38" s="87"/>
      <c r="Y38" s="87"/>
    </row>
    <row r="39" spans="1:25" x14ac:dyDescent="0.25">
      <c r="A39">
        <f t="shared" ref="A39:A53" si="7">E39</f>
        <v>0</v>
      </c>
      <c r="B39">
        <f t="shared" ref="B39:B53" si="8">G39</f>
        <v>0</v>
      </c>
      <c r="C39" t="str">
        <f t="shared" si="3"/>
        <v/>
      </c>
      <c r="D39" t="e">
        <f t="shared" si="6"/>
        <v>#REF!</v>
      </c>
      <c r="E39" s="34"/>
      <c r="F39" s="1" t="s">
        <v>9</v>
      </c>
      <c r="G39" s="34"/>
      <c r="H39" s="1">
        <v>34</v>
      </c>
      <c r="I39" s="33"/>
      <c r="J39" s="95"/>
      <c r="L39" s="95"/>
      <c r="N39" s="95"/>
      <c r="Q39" s="87"/>
      <c r="R39" s="87"/>
      <c r="S39" s="87"/>
      <c r="T39" s="87"/>
      <c r="U39" s="87"/>
      <c r="V39" s="87"/>
      <c r="W39" s="87"/>
      <c r="X39" s="87"/>
      <c r="Y39" s="87"/>
    </row>
    <row r="40" spans="1:25" x14ac:dyDescent="0.25">
      <c r="A40">
        <f t="shared" si="7"/>
        <v>0</v>
      </c>
      <c r="B40">
        <f t="shared" si="8"/>
        <v>0</v>
      </c>
      <c r="C40" t="str">
        <f t="shared" si="3"/>
        <v/>
      </c>
      <c r="D40" t="e">
        <f t="shared" si="6"/>
        <v>#REF!</v>
      </c>
      <c r="E40" s="34"/>
      <c r="F40" s="1" t="s">
        <v>9</v>
      </c>
      <c r="G40" s="34"/>
      <c r="H40" s="1">
        <v>35</v>
      </c>
      <c r="I40" s="33"/>
      <c r="J40" s="95"/>
      <c r="L40" s="95"/>
      <c r="N40" s="95"/>
      <c r="Q40" s="87"/>
      <c r="R40" s="87"/>
      <c r="S40" s="87"/>
      <c r="T40" s="87"/>
      <c r="U40" s="87"/>
      <c r="V40" s="87"/>
      <c r="W40" s="87"/>
      <c r="X40" s="87"/>
      <c r="Y40" s="87"/>
    </row>
    <row r="41" spans="1:25" x14ac:dyDescent="0.25">
      <c r="A41">
        <f t="shared" si="7"/>
        <v>0</v>
      </c>
      <c r="B41">
        <f t="shared" si="8"/>
        <v>0</v>
      </c>
      <c r="C41" t="str">
        <f t="shared" si="3"/>
        <v/>
      </c>
      <c r="D41" t="e">
        <f t="shared" si="6"/>
        <v>#REF!</v>
      </c>
      <c r="E41" s="34"/>
      <c r="F41" s="1" t="s">
        <v>9</v>
      </c>
      <c r="G41" s="34"/>
      <c r="H41" s="1">
        <v>36</v>
      </c>
      <c r="I41" s="33"/>
      <c r="J41" s="95"/>
      <c r="L41" s="95"/>
      <c r="N41" s="95"/>
      <c r="Q41" s="87"/>
      <c r="R41" s="87"/>
      <c r="S41" s="87"/>
      <c r="T41" s="87"/>
      <c r="U41" s="87"/>
      <c r="V41" s="87"/>
      <c r="W41" s="87"/>
      <c r="X41" s="87"/>
      <c r="Y41" s="87"/>
    </row>
    <row r="42" spans="1:25" x14ac:dyDescent="0.25">
      <c r="A42">
        <f t="shared" si="7"/>
        <v>0</v>
      </c>
      <c r="B42">
        <f t="shared" si="8"/>
        <v>0</v>
      </c>
      <c r="C42" t="str">
        <f t="shared" si="3"/>
        <v/>
      </c>
      <c r="D42" t="e">
        <f t="shared" si="6"/>
        <v>#REF!</v>
      </c>
      <c r="E42" s="34"/>
      <c r="F42" s="1" t="s">
        <v>9</v>
      </c>
      <c r="G42" s="34"/>
      <c r="H42" s="1">
        <v>37</v>
      </c>
      <c r="I42" s="33"/>
      <c r="J42" s="95"/>
      <c r="L42" s="95"/>
      <c r="N42" s="95"/>
      <c r="Q42" s="87"/>
      <c r="R42" s="87"/>
      <c r="S42" s="87"/>
      <c r="T42" s="87"/>
      <c r="U42" s="87"/>
      <c r="V42" s="87"/>
      <c r="W42" s="87"/>
      <c r="X42" s="87"/>
      <c r="Y42" s="87"/>
    </row>
    <row r="43" spans="1:25" x14ac:dyDescent="0.25">
      <c r="A43">
        <f t="shared" si="7"/>
        <v>0</v>
      </c>
      <c r="B43">
        <f t="shared" si="8"/>
        <v>0</v>
      </c>
      <c r="C43" t="str">
        <f t="shared" si="3"/>
        <v/>
      </c>
      <c r="D43" t="e">
        <f t="shared" si="6"/>
        <v>#REF!</v>
      </c>
      <c r="E43" s="34"/>
      <c r="F43" s="1" t="s">
        <v>9</v>
      </c>
      <c r="G43" s="34"/>
      <c r="H43" s="1">
        <v>38</v>
      </c>
      <c r="I43" s="33"/>
      <c r="J43" s="95"/>
      <c r="L43" s="95"/>
      <c r="N43" s="95"/>
      <c r="Q43" s="87"/>
      <c r="R43" s="87"/>
      <c r="S43" s="87"/>
      <c r="T43" s="87"/>
      <c r="U43" s="87"/>
      <c r="V43" s="87"/>
      <c r="W43" s="87"/>
      <c r="X43" s="87"/>
      <c r="Y43" s="87"/>
    </row>
    <row r="44" spans="1:25" x14ac:dyDescent="0.25">
      <c r="A44">
        <f t="shared" si="7"/>
        <v>0</v>
      </c>
      <c r="B44">
        <f t="shared" si="8"/>
        <v>0</v>
      </c>
      <c r="C44" t="str">
        <f t="shared" si="3"/>
        <v/>
      </c>
      <c r="D44" t="e">
        <f t="shared" si="6"/>
        <v>#REF!</v>
      </c>
      <c r="E44" s="34"/>
      <c r="F44" s="1" t="s">
        <v>9</v>
      </c>
      <c r="G44" s="34"/>
      <c r="H44" s="1">
        <v>39</v>
      </c>
      <c r="I44" s="33"/>
      <c r="J44" s="95"/>
      <c r="L44" s="95"/>
      <c r="N44" s="95"/>
      <c r="Q44" s="87"/>
      <c r="R44" s="87"/>
      <c r="S44" s="87"/>
      <c r="T44" s="87"/>
      <c r="U44" s="87"/>
      <c r="V44" s="87"/>
      <c r="W44" s="87"/>
      <c r="X44" s="87"/>
      <c r="Y44" s="87"/>
    </row>
    <row r="45" spans="1:25" x14ac:dyDescent="0.25">
      <c r="A45">
        <f t="shared" si="7"/>
        <v>0</v>
      </c>
      <c r="B45">
        <f t="shared" si="8"/>
        <v>0</v>
      </c>
      <c r="C45" t="str">
        <f t="shared" si="3"/>
        <v/>
      </c>
      <c r="D45" t="e">
        <f t="shared" si="6"/>
        <v>#REF!</v>
      </c>
      <c r="E45" s="34"/>
      <c r="F45" s="1" t="s">
        <v>9</v>
      </c>
      <c r="G45" s="34"/>
      <c r="H45" s="1">
        <v>40</v>
      </c>
      <c r="I45" s="33"/>
      <c r="J45" s="95"/>
      <c r="L45" s="95"/>
      <c r="N45" s="95"/>
      <c r="Q45" s="87"/>
      <c r="R45" s="87"/>
      <c r="S45" s="87"/>
      <c r="T45" s="87"/>
      <c r="U45" s="87"/>
      <c r="V45" s="87"/>
      <c r="W45" s="87"/>
      <c r="X45" s="87"/>
      <c r="Y45" s="87"/>
    </row>
    <row r="46" spans="1:25" x14ac:dyDescent="0.25">
      <c r="A46">
        <f t="shared" si="7"/>
        <v>0</v>
      </c>
      <c r="B46">
        <f t="shared" si="8"/>
        <v>0</v>
      </c>
      <c r="C46" t="str">
        <f t="shared" si="3"/>
        <v/>
      </c>
      <c r="D46" t="e">
        <f t="shared" si="6"/>
        <v>#REF!</v>
      </c>
      <c r="E46" s="34"/>
      <c r="F46" s="1" t="s">
        <v>9</v>
      </c>
      <c r="G46" s="34"/>
      <c r="H46" s="1">
        <v>41</v>
      </c>
      <c r="I46" s="33"/>
      <c r="J46" s="95"/>
      <c r="L46" s="95"/>
      <c r="N46" s="95"/>
      <c r="Q46" s="87"/>
      <c r="R46" s="87"/>
      <c r="S46" s="87"/>
      <c r="T46" s="87"/>
      <c r="U46" s="87"/>
      <c r="V46" s="87"/>
      <c r="W46" s="87"/>
      <c r="X46" s="87"/>
      <c r="Y46" s="87"/>
    </row>
    <row r="47" spans="1:25" x14ac:dyDescent="0.25">
      <c r="A47">
        <f t="shared" si="7"/>
        <v>0</v>
      </c>
      <c r="B47">
        <f t="shared" si="8"/>
        <v>0</v>
      </c>
      <c r="C47" t="str">
        <f t="shared" si="3"/>
        <v/>
      </c>
      <c r="D47" t="e">
        <f t="shared" si="6"/>
        <v>#REF!</v>
      </c>
      <c r="E47" s="34"/>
      <c r="F47" s="1" t="s">
        <v>9</v>
      </c>
      <c r="G47" s="34"/>
      <c r="H47" s="1">
        <v>42</v>
      </c>
      <c r="I47" s="33"/>
      <c r="J47" s="95"/>
      <c r="L47" s="95"/>
      <c r="N47" s="95"/>
      <c r="Q47" s="87"/>
      <c r="R47" s="87"/>
      <c r="S47" s="87"/>
      <c r="T47" s="87"/>
      <c r="U47" s="87"/>
      <c r="V47" s="87"/>
      <c r="W47" s="87"/>
      <c r="X47" s="87"/>
      <c r="Y47" s="87"/>
    </row>
    <row r="48" spans="1:25" x14ac:dyDescent="0.25">
      <c r="A48">
        <f t="shared" si="7"/>
        <v>0</v>
      </c>
      <c r="B48">
        <f t="shared" si="8"/>
        <v>0</v>
      </c>
      <c r="C48" t="str">
        <f t="shared" si="3"/>
        <v/>
      </c>
      <c r="D48" t="e">
        <f t="shared" si="6"/>
        <v>#REF!</v>
      </c>
      <c r="E48" s="34"/>
      <c r="F48" s="1" t="s">
        <v>9</v>
      </c>
      <c r="G48" s="34"/>
      <c r="H48" s="1">
        <v>43</v>
      </c>
      <c r="I48" s="33"/>
      <c r="J48" s="95"/>
      <c r="L48" s="95"/>
      <c r="N48" s="95"/>
      <c r="Q48" s="87"/>
      <c r="R48" s="87"/>
      <c r="S48" s="87"/>
      <c r="T48" s="87"/>
      <c r="U48" s="87"/>
      <c r="V48" s="87"/>
      <c r="W48" s="87"/>
      <c r="X48" s="87"/>
      <c r="Y48" s="87"/>
    </row>
    <row r="49" spans="1:25" x14ac:dyDescent="0.25">
      <c r="A49">
        <f t="shared" si="7"/>
        <v>0</v>
      </c>
      <c r="B49">
        <f t="shared" si="8"/>
        <v>0</v>
      </c>
      <c r="C49" t="str">
        <f t="shared" si="3"/>
        <v/>
      </c>
      <c r="D49" t="e">
        <f t="shared" si="6"/>
        <v>#REF!</v>
      </c>
      <c r="E49" s="34"/>
      <c r="F49" s="1" t="s">
        <v>9</v>
      </c>
      <c r="G49" s="34"/>
      <c r="H49" s="1">
        <v>44</v>
      </c>
      <c r="I49" s="33"/>
      <c r="J49" s="95"/>
      <c r="L49" s="95"/>
      <c r="N49" s="95"/>
      <c r="Q49" s="87"/>
      <c r="R49" s="87"/>
      <c r="S49" s="87"/>
      <c r="T49" s="87"/>
      <c r="U49" s="87"/>
      <c r="V49" s="87"/>
      <c r="W49" s="87"/>
      <c r="X49" s="87"/>
      <c r="Y49" s="87"/>
    </row>
    <row r="50" spans="1:25" x14ac:dyDescent="0.25">
      <c r="A50">
        <f t="shared" si="7"/>
        <v>0</v>
      </c>
      <c r="B50">
        <f t="shared" si="8"/>
        <v>0</v>
      </c>
      <c r="C50" t="str">
        <f t="shared" si="3"/>
        <v/>
      </c>
      <c r="D50" t="e">
        <f t="shared" si="6"/>
        <v>#REF!</v>
      </c>
      <c r="E50" s="34"/>
      <c r="F50" s="1" t="s">
        <v>9</v>
      </c>
      <c r="G50" s="34"/>
      <c r="H50" s="1">
        <v>45</v>
      </c>
      <c r="I50" s="33"/>
      <c r="J50" s="95"/>
      <c r="L50" s="95"/>
      <c r="N50" s="95"/>
      <c r="Q50" s="87"/>
      <c r="R50" s="87"/>
      <c r="S50" s="87"/>
      <c r="T50" s="87"/>
      <c r="U50" s="87"/>
      <c r="V50" s="87"/>
      <c r="W50" s="87"/>
      <c r="X50" s="87"/>
      <c r="Y50" s="87"/>
    </row>
    <row r="51" spans="1:25" x14ac:dyDescent="0.25">
      <c r="A51">
        <f t="shared" si="7"/>
        <v>0</v>
      </c>
      <c r="B51">
        <f t="shared" si="8"/>
        <v>0</v>
      </c>
      <c r="C51" t="str">
        <f t="shared" si="3"/>
        <v/>
      </c>
      <c r="D51" t="e">
        <f t="shared" si="6"/>
        <v>#REF!</v>
      </c>
      <c r="E51" s="34"/>
      <c r="F51" s="1" t="s">
        <v>9</v>
      </c>
      <c r="G51" s="34"/>
      <c r="H51" s="1">
        <v>46</v>
      </c>
      <c r="I51" s="33"/>
      <c r="J51" s="95"/>
      <c r="L51" s="95"/>
      <c r="N51" s="95"/>
      <c r="Q51" s="87"/>
      <c r="R51" s="87"/>
      <c r="S51" s="87"/>
      <c r="T51" s="87"/>
      <c r="U51" s="87"/>
      <c r="V51" s="87"/>
      <c r="W51" s="87"/>
      <c r="X51" s="87"/>
      <c r="Y51" s="87"/>
    </row>
    <row r="52" spans="1:25" x14ac:dyDescent="0.25">
      <c r="A52">
        <f t="shared" si="7"/>
        <v>0</v>
      </c>
      <c r="B52">
        <f t="shared" si="8"/>
        <v>0</v>
      </c>
      <c r="C52" t="str">
        <f t="shared" si="3"/>
        <v/>
      </c>
      <c r="D52" t="e">
        <f t="shared" si="6"/>
        <v>#REF!</v>
      </c>
      <c r="E52" s="34"/>
      <c r="F52" s="1" t="s">
        <v>9</v>
      </c>
      <c r="G52" s="34"/>
      <c r="H52" s="1">
        <v>47</v>
      </c>
      <c r="I52" s="33"/>
      <c r="J52" s="95"/>
      <c r="L52" s="95"/>
      <c r="N52" s="95"/>
    </row>
    <row r="53" spans="1:25" x14ac:dyDescent="0.25">
      <c r="A53">
        <f t="shared" si="7"/>
        <v>0</v>
      </c>
      <c r="B53">
        <f t="shared" si="8"/>
        <v>0</v>
      </c>
      <c r="C53" t="str">
        <f t="shared" si="3"/>
        <v/>
      </c>
      <c r="D53" t="e">
        <f t="shared" si="6"/>
        <v>#REF!</v>
      </c>
      <c r="E53" s="34"/>
      <c r="F53" s="1" t="s">
        <v>9</v>
      </c>
      <c r="G53" s="34"/>
      <c r="H53" s="1">
        <v>48</v>
      </c>
      <c r="I53" s="33"/>
      <c r="J53" s="95"/>
      <c r="L53" s="95"/>
      <c r="N53" s="95"/>
    </row>
    <row r="54" spans="1:25" ht="13.8" x14ac:dyDescent="0.25">
      <c r="E54" s="41" t="str">
        <f>Bracket!G2</f>
        <v>Sweet 16</v>
      </c>
      <c r="F54" s="42" t="s">
        <v>13</v>
      </c>
      <c r="G54" s="43">
        <f>T12</f>
        <v>0</v>
      </c>
      <c r="H54" s="41" t="s">
        <v>10</v>
      </c>
      <c r="I54" s="41" t="s">
        <v>8</v>
      </c>
      <c r="J54" s="94"/>
      <c r="K54" s="93"/>
      <c r="L54" s="94"/>
      <c r="M54" s="93"/>
      <c r="N54" s="94"/>
      <c r="O54" s="93"/>
    </row>
    <row r="55" spans="1:25" x14ac:dyDescent="0.25">
      <c r="A55">
        <f>E55</f>
        <v>0</v>
      </c>
      <c r="B55">
        <f>G55</f>
        <v>0</v>
      </c>
      <c r="C55">
        <f t="shared" si="3"/>
        <v>0</v>
      </c>
      <c r="D55" t="e">
        <f t="shared" ref="D55:D62" si="9">IF(SeedType=1,0,IF(SeedType=2,VLOOKUP(I55,SeedInfo,2,FALSE)*3,MAX(VLOOKUP(I55,SeedInfo,2,FALSE)-VLOOKUP(C55,SeedInfo,2,FALSE),0)))</f>
        <v>#REF!</v>
      </c>
      <c r="E55" s="34">
        <f>Bracket!G7</f>
        <v>0</v>
      </c>
      <c r="F55" s="1" t="s">
        <v>9</v>
      </c>
      <c r="G55" s="34">
        <f>Bracket!G15</f>
        <v>0</v>
      </c>
      <c r="H55" s="1">
        <v>49</v>
      </c>
      <c r="I55" s="33">
        <f>Bracket!I11</f>
        <v>0</v>
      </c>
      <c r="J55" s="95"/>
      <c r="L55" s="95"/>
      <c r="N55" s="95"/>
    </row>
    <row r="56" spans="1:25" x14ac:dyDescent="0.25">
      <c r="A56">
        <f t="shared" ref="A56:A62" si="10">E56</f>
        <v>0</v>
      </c>
      <c r="B56">
        <f t="shared" ref="B56:B62" si="11">G56</f>
        <v>0</v>
      </c>
      <c r="C56">
        <f t="shared" si="3"/>
        <v>0</v>
      </c>
      <c r="D56" t="e">
        <f t="shared" si="9"/>
        <v>#REF!</v>
      </c>
      <c r="E56" s="34">
        <f>Bracket!G23</f>
        <v>0</v>
      </c>
      <c r="F56" s="1" t="s">
        <v>9</v>
      </c>
      <c r="G56" s="34">
        <f>Bracket!G31</f>
        <v>0</v>
      </c>
      <c r="H56" s="1">
        <v>50</v>
      </c>
      <c r="I56" s="33">
        <f>Bracket!I27</f>
        <v>0</v>
      </c>
      <c r="J56" s="95"/>
      <c r="L56" s="95"/>
      <c r="N56" s="95"/>
    </row>
    <row r="57" spans="1:25" x14ac:dyDescent="0.25">
      <c r="A57">
        <f t="shared" si="10"/>
        <v>0</v>
      </c>
      <c r="B57">
        <f t="shared" si="11"/>
        <v>0</v>
      </c>
      <c r="C57">
        <f t="shared" si="3"/>
        <v>0</v>
      </c>
      <c r="D57" t="e">
        <f t="shared" si="9"/>
        <v>#REF!</v>
      </c>
      <c r="E57" s="34">
        <f>Bracket!G39</f>
        <v>0</v>
      </c>
      <c r="F57" s="1" t="s">
        <v>9</v>
      </c>
      <c r="G57" s="34">
        <f>Bracket!G47</f>
        <v>0</v>
      </c>
      <c r="H57" s="1">
        <v>51</v>
      </c>
      <c r="I57" s="33">
        <f>Bracket!I43</f>
        <v>0</v>
      </c>
      <c r="J57" s="95"/>
      <c r="L57" s="95"/>
      <c r="N57" s="95"/>
    </row>
    <row r="58" spans="1:25" x14ac:dyDescent="0.25">
      <c r="A58">
        <f t="shared" si="10"/>
        <v>0</v>
      </c>
      <c r="B58">
        <f t="shared" si="11"/>
        <v>0</v>
      </c>
      <c r="C58">
        <f t="shared" si="3"/>
        <v>0</v>
      </c>
      <c r="D58" t="e">
        <f t="shared" si="9"/>
        <v>#REF!</v>
      </c>
      <c r="E58" s="34">
        <f>Bracket!G55</f>
        <v>0</v>
      </c>
      <c r="F58" s="1" t="s">
        <v>9</v>
      </c>
      <c r="G58" s="34">
        <f>Bracket!G63</f>
        <v>0</v>
      </c>
      <c r="H58" s="1">
        <v>52</v>
      </c>
      <c r="I58" s="33">
        <f>Bracket!I59</f>
        <v>0</v>
      </c>
      <c r="J58" s="95"/>
      <c r="L58" s="95"/>
      <c r="N58" s="95"/>
    </row>
    <row r="59" spans="1:25" x14ac:dyDescent="0.25">
      <c r="A59">
        <f t="shared" si="10"/>
        <v>0</v>
      </c>
      <c r="B59">
        <f t="shared" si="11"/>
        <v>0</v>
      </c>
      <c r="C59">
        <f t="shared" si="3"/>
        <v>0</v>
      </c>
      <c r="D59" t="e">
        <f t="shared" si="9"/>
        <v>#REF!</v>
      </c>
      <c r="E59" s="34">
        <f>Bracket!X7</f>
        <v>0</v>
      </c>
      <c r="F59" s="1" t="s">
        <v>9</v>
      </c>
      <c r="G59" s="34">
        <f>Bracket!X15</f>
        <v>0</v>
      </c>
      <c r="H59" s="1">
        <v>53</v>
      </c>
      <c r="I59" s="33">
        <f>Bracket!V11</f>
        <v>0</v>
      </c>
      <c r="J59" s="95"/>
      <c r="L59" s="95"/>
      <c r="N59" s="95"/>
    </row>
    <row r="60" spans="1:25" x14ac:dyDescent="0.25">
      <c r="A60">
        <f t="shared" si="10"/>
        <v>0</v>
      </c>
      <c r="B60">
        <f t="shared" si="11"/>
        <v>0</v>
      </c>
      <c r="C60">
        <f t="shared" si="3"/>
        <v>0</v>
      </c>
      <c r="D60" t="e">
        <f t="shared" si="9"/>
        <v>#REF!</v>
      </c>
      <c r="E60" s="34">
        <f>Bracket!X23</f>
        <v>0</v>
      </c>
      <c r="F60" s="1" t="s">
        <v>9</v>
      </c>
      <c r="G60" s="34">
        <f>Bracket!X31</f>
        <v>0</v>
      </c>
      <c r="H60" s="1">
        <v>54</v>
      </c>
      <c r="I60" s="33">
        <f>Bracket!V27</f>
        <v>0</v>
      </c>
      <c r="J60" s="95"/>
      <c r="L60" s="95"/>
      <c r="N60" s="95"/>
    </row>
    <row r="61" spans="1:25" x14ac:dyDescent="0.25">
      <c r="A61">
        <f t="shared" si="10"/>
        <v>0</v>
      </c>
      <c r="B61">
        <f t="shared" si="11"/>
        <v>0</v>
      </c>
      <c r="C61">
        <f t="shared" si="3"/>
        <v>0</v>
      </c>
      <c r="D61" t="e">
        <f t="shared" si="9"/>
        <v>#REF!</v>
      </c>
      <c r="E61" s="34">
        <f>Bracket!X39</f>
        <v>0</v>
      </c>
      <c r="F61" s="1" t="s">
        <v>9</v>
      </c>
      <c r="G61" s="34">
        <f>Bracket!X47</f>
        <v>0</v>
      </c>
      <c r="H61" s="1">
        <v>55</v>
      </c>
      <c r="I61" s="33">
        <f>Bracket!V43</f>
        <v>0</v>
      </c>
      <c r="J61" s="95"/>
      <c r="L61" s="95"/>
      <c r="N61" s="95"/>
    </row>
    <row r="62" spans="1:25" x14ac:dyDescent="0.25">
      <c r="A62">
        <f t="shared" si="10"/>
        <v>0</v>
      </c>
      <c r="B62">
        <f t="shared" si="11"/>
        <v>0</v>
      </c>
      <c r="C62">
        <f t="shared" si="3"/>
        <v>0</v>
      </c>
      <c r="D62" t="e">
        <f t="shared" si="9"/>
        <v>#REF!</v>
      </c>
      <c r="E62" s="34">
        <f>Bracket!X55</f>
        <v>0</v>
      </c>
      <c r="F62" s="1" t="s">
        <v>9</v>
      </c>
      <c r="G62" s="34">
        <f>Bracket!X63</f>
        <v>0</v>
      </c>
      <c r="H62" s="1">
        <v>56</v>
      </c>
      <c r="I62" s="33">
        <f>Bracket!V59</f>
        <v>0</v>
      </c>
      <c r="J62" s="95"/>
      <c r="L62" s="95"/>
      <c r="N62" s="95"/>
    </row>
    <row r="63" spans="1:25" ht="13.8" x14ac:dyDescent="0.25">
      <c r="E63" s="44" t="str">
        <f>Bracket!I2</f>
        <v>Elite 8</v>
      </c>
      <c r="F63" s="42" t="s">
        <v>13</v>
      </c>
      <c r="G63" s="45"/>
      <c r="H63" s="41" t="s">
        <v>10</v>
      </c>
      <c r="I63" s="44" t="s">
        <v>8</v>
      </c>
      <c r="J63" s="96"/>
      <c r="K63" s="93"/>
      <c r="L63" s="96"/>
      <c r="M63" s="93"/>
      <c r="N63" s="96"/>
      <c r="O63" s="93"/>
    </row>
    <row r="64" spans="1:25" x14ac:dyDescent="0.25">
      <c r="A64">
        <f>E64</f>
        <v>0</v>
      </c>
      <c r="B64">
        <f>G64</f>
        <v>0</v>
      </c>
      <c r="C64">
        <f t="shared" si="3"/>
        <v>0</v>
      </c>
      <c r="D64" t="e">
        <f>IF(SeedType=1,0,IF(SeedType=2,VLOOKUP(I64,SeedInfo,2,FALSE)*4,MAX(VLOOKUP(I64,SeedInfo,2,FALSE)-VLOOKUP(C64,SeedInfo,2,FALSE),0)))</f>
        <v>#REF!</v>
      </c>
      <c r="E64" s="34">
        <f>Bracket!I11</f>
        <v>0</v>
      </c>
      <c r="F64" s="1" t="s">
        <v>9</v>
      </c>
      <c r="G64" s="34">
        <f>Bracket!I27</f>
        <v>0</v>
      </c>
      <c r="H64" s="1">
        <v>57</v>
      </c>
      <c r="I64" s="33">
        <f>Bracket!K19</f>
        <v>0</v>
      </c>
      <c r="J64" s="95"/>
      <c r="L64" s="95"/>
      <c r="N64" s="95"/>
    </row>
    <row r="65" spans="1:15" x14ac:dyDescent="0.25">
      <c r="A65">
        <f>E65</f>
        <v>0</v>
      </c>
      <c r="B65">
        <f>G65</f>
        <v>0</v>
      </c>
      <c r="C65">
        <f t="shared" si="3"/>
        <v>0</v>
      </c>
      <c r="D65" t="e">
        <f>IF(SeedType=1,0,IF(SeedType=2,VLOOKUP(I65,SeedInfo,2,FALSE)*4,MAX(VLOOKUP(I65,SeedInfo,2,FALSE)-VLOOKUP(C65,SeedInfo,2,FALSE),0)))</f>
        <v>#REF!</v>
      </c>
      <c r="E65" s="34">
        <f>Bracket!I43</f>
        <v>0</v>
      </c>
      <c r="F65" s="1" t="s">
        <v>9</v>
      </c>
      <c r="G65" s="34">
        <f>Bracket!I59</f>
        <v>0</v>
      </c>
      <c r="H65" s="1">
        <v>58</v>
      </c>
      <c r="I65" s="33">
        <f>Bracket!K51</f>
        <v>0</v>
      </c>
      <c r="J65" s="95"/>
      <c r="L65" s="95"/>
      <c r="N65" s="95"/>
    </row>
    <row r="66" spans="1:15" x14ac:dyDescent="0.25">
      <c r="A66">
        <f>E66</f>
        <v>0</v>
      </c>
      <c r="B66">
        <f>G66</f>
        <v>0</v>
      </c>
      <c r="C66">
        <f t="shared" si="3"/>
        <v>0</v>
      </c>
      <c r="D66" t="e">
        <f>IF(SeedType=1,0,IF(SeedType=2,VLOOKUP(I66,SeedInfo,2,FALSE)*4,MAX(VLOOKUP(I66,SeedInfo,2,FALSE)-VLOOKUP(C66,SeedInfo,2,FALSE),0)))</f>
        <v>#REF!</v>
      </c>
      <c r="E66" s="34">
        <f>Bracket!V11</f>
        <v>0</v>
      </c>
      <c r="F66" s="1" t="s">
        <v>9</v>
      </c>
      <c r="G66" s="34">
        <f>Bracket!V27</f>
        <v>0</v>
      </c>
      <c r="H66" s="1">
        <v>59</v>
      </c>
      <c r="I66" s="33">
        <f>Bracket!T19</f>
        <v>0</v>
      </c>
      <c r="J66" s="95"/>
      <c r="L66" s="95"/>
      <c r="N66" s="95"/>
    </row>
    <row r="67" spans="1:15" x14ac:dyDescent="0.25">
      <c r="A67">
        <f>E67</f>
        <v>0</v>
      </c>
      <c r="B67">
        <f>G67</f>
        <v>0</v>
      </c>
      <c r="C67">
        <f t="shared" si="3"/>
        <v>0</v>
      </c>
      <c r="D67" t="e">
        <f>IF(SeedType=1,0,IF(SeedType=2,VLOOKUP(I67,SeedInfo,2,FALSE)*4,MAX(VLOOKUP(I67,SeedInfo,2,FALSE)-VLOOKUP(C67,SeedInfo,2,FALSE),0)))</f>
        <v>#REF!</v>
      </c>
      <c r="E67" s="34">
        <f>Bracket!V43</f>
        <v>0</v>
      </c>
      <c r="F67" s="1" t="s">
        <v>9</v>
      </c>
      <c r="G67" s="34">
        <f>Bracket!V59</f>
        <v>0</v>
      </c>
      <c r="H67" s="1">
        <v>60</v>
      </c>
      <c r="I67" s="33">
        <f>Bracket!T51</f>
        <v>0</v>
      </c>
      <c r="J67" s="95"/>
      <c r="L67" s="95"/>
      <c r="N67" s="95"/>
    </row>
    <row r="68" spans="1:15" ht="13.8" x14ac:dyDescent="0.25">
      <c r="E68" s="44" t="str">
        <f>Bracket!K2</f>
        <v>Final Four</v>
      </c>
      <c r="F68" s="42" t="s">
        <v>13</v>
      </c>
      <c r="G68" s="45"/>
      <c r="H68" s="41" t="s">
        <v>10</v>
      </c>
      <c r="I68" s="44" t="s">
        <v>8</v>
      </c>
      <c r="J68" s="96"/>
      <c r="K68" s="93"/>
      <c r="L68" s="96"/>
      <c r="M68" s="93"/>
      <c r="N68" s="96"/>
      <c r="O68" s="93"/>
    </row>
    <row r="69" spans="1:15" x14ac:dyDescent="0.25">
      <c r="A69">
        <f>E69</f>
        <v>0</v>
      </c>
      <c r="B69">
        <f>G69</f>
        <v>0</v>
      </c>
      <c r="C69">
        <f t="shared" si="3"/>
        <v>0</v>
      </c>
      <c r="D69" t="e">
        <f>IF(SeedType=1,0,IF(SeedType=2,VLOOKUP(I69,SeedInfo,2,FALSE)*5,MAX(VLOOKUP(I69,SeedInfo,2,FALSE)-VLOOKUP(C69,SeedInfo,2,FALSE),0)))</f>
        <v>#REF!</v>
      </c>
      <c r="E69" s="34">
        <f>Bracket!K19</f>
        <v>0</v>
      </c>
      <c r="F69" s="1" t="s">
        <v>9</v>
      </c>
      <c r="G69" s="34">
        <f>Bracket!K51</f>
        <v>0</v>
      </c>
      <c r="H69" s="1">
        <v>61</v>
      </c>
      <c r="I69" s="33">
        <f>Bracket!M27</f>
        <v>0</v>
      </c>
      <c r="J69" s="95"/>
      <c r="L69" s="95"/>
      <c r="N69" s="95"/>
    </row>
    <row r="70" spans="1:15" x14ac:dyDescent="0.25">
      <c r="A70">
        <f>E70</f>
        <v>0</v>
      </c>
      <c r="B70">
        <f>G70</f>
        <v>0</v>
      </c>
      <c r="C70">
        <f>IF(I70="","",IF(A70=I70,B70,A70))</f>
        <v>0</v>
      </c>
      <c r="D70" t="e">
        <f>IF(SeedType=1,0,IF(SeedType=2,VLOOKUP(I70,SeedInfo,2,FALSE)*5,MAX(VLOOKUP(I70,SeedInfo,2,FALSE)-VLOOKUP(C70,SeedInfo,2,FALSE),0)))</f>
        <v>#REF!</v>
      </c>
      <c r="E70" s="34">
        <f>Bracket!T19</f>
        <v>0</v>
      </c>
      <c r="F70" s="1" t="s">
        <v>9</v>
      </c>
      <c r="G70" s="34">
        <f>Bracket!T51</f>
        <v>0</v>
      </c>
      <c r="H70" s="1">
        <v>62</v>
      </c>
      <c r="I70" s="33">
        <f>Bracket!P39</f>
        <v>0</v>
      </c>
      <c r="J70" s="95"/>
      <c r="L70" s="95"/>
      <c r="N70" s="95"/>
    </row>
    <row r="71" spans="1:15" ht="13.8" x14ac:dyDescent="0.25">
      <c r="A71" s="46"/>
      <c r="B71" s="46"/>
      <c r="C71" s="46"/>
      <c r="D71" s="46"/>
      <c r="E71" s="44" t="str">
        <f>Bracket!N2</f>
        <v>Championship</v>
      </c>
      <c r="F71" s="42" t="s">
        <v>13</v>
      </c>
      <c r="G71" s="45"/>
      <c r="H71" s="41" t="s">
        <v>10</v>
      </c>
      <c r="I71" s="44" t="s">
        <v>8</v>
      </c>
      <c r="J71" s="96"/>
      <c r="K71" s="93"/>
      <c r="L71" s="96"/>
      <c r="M71" s="93"/>
      <c r="N71" s="96"/>
      <c r="O71" s="93"/>
    </row>
    <row r="72" spans="1:15" x14ac:dyDescent="0.25">
      <c r="A72">
        <f>E72</f>
        <v>0</v>
      </c>
      <c r="B72">
        <f>G72</f>
        <v>0</v>
      </c>
      <c r="C72">
        <f>IF(I72="","",IF(A72=I72,B72,A72))</f>
        <v>0</v>
      </c>
      <c r="D72" t="e">
        <f>IF(SeedType=1,0,IF(SeedType=2,VLOOKUP(I72,SeedInfo,2,FALSE)*6,MAX(VLOOKUP(I72,SeedInfo,2,FALSE)-VLOOKUP(C72,SeedInfo,2,FALSE),0)))</f>
        <v>#REF!</v>
      </c>
      <c r="E72" s="34">
        <f>Bracket!M27</f>
        <v>0</v>
      </c>
      <c r="F72" s="1" t="s">
        <v>9</v>
      </c>
      <c r="G72" s="34">
        <f>Bracket!P39</f>
        <v>0</v>
      </c>
      <c r="H72" s="1">
        <v>63</v>
      </c>
      <c r="I72" s="33">
        <f>Bracket!N32</f>
        <v>0</v>
      </c>
      <c r="J72" s="95"/>
      <c r="L72" s="95"/>
      <c r="N72" s="95"/>
    </row>
  </sheetData>
  <mergeCells count="4">
    <mergeCell ref="J2:K2"/>
    <mergeCell ref="L2:M2"/>
    <mergeCell ref="N2:O2"/>
    <mergeCell ref="T22:V22"/>
  </mergeCells>
  <phoneticPr fontId="0" type="noConversion"/>
  <dataValidations count="34">
    <dataValidation type="list" allowBlank="1" showInputMessage="1" showErrorMessage="1" sqref="J5:J36 L5:L36 N5:N36" xr:uid="{00000000-0002-0000-0100-000000000000}">
      <formula1>$A5:$B5</formula1>
    </dataValidation>
    <dataValidation type="list" allowBlank="1" showInputMessage="1" showErrorMessage="1" sqref="T6" xr:uid="{00000000-0002-0000-0100-000001000000}">
      <formula1>"Yes,No"</formula1>
    </dataValidation>
    <dataValidation type="list" allowBlank="1" showInputMessage="1" showErrorMessage="1" sqref="T22:V22" xr:uid="{00000000-0002-0000-0100-000002000000}">
      <formula1>"No Seed Bonus, Seed * Round, Underdog Differential"</formula1>
    </dataValidation>
    <dataValidation type="list" allowBlank="1" showInputMessage="1" showErrorMessage="1" sqref="J38 L38 N38" xr:uid="{00000000-0002-0000-0100-000003000000}">
      <formula1>IF(Method=FALSE,$A38:$B38,J$5:J$6)</formula1>
    </dataValidation>
    <dataValidation type="list" allowBlank="1" showInputMessage="1" showErrorMessage="1" sqref="J39 L39 N39" xr:uid="{00000000-0002-0000-0100-000004000000}">
      <formula1>IF(Method=FALSE,$A39:$B39,J$7:J$8)</formula1>
    </dataValidation>
    <dataValidation type="list" allowBlank="1" showInputMessage="1" showErrorMessage="1" sqref="J40 L40 N40" xr:uid="{00000000-0002-0000-0100-000005000000}">
      <formula1>IF(Method=FALSE,$A40:$B40,J$9:J$10)</formula1>
    </dataValidation>
    <dataValidation type="list" allowBlank="1" showInputMessage="1" showErrorMessage="1" sqref="J41 L41 N41" xr:uid="{00000000-0002-0000-0100-000006000000}">
      <formula1>IF(Method=FALSE,$A41:$B41,J$11:J$12)</formula1>
    </dataValidation>
    <dataValidation type="list" allowBlank="1" showInputMessage="1" showErrorMessage="1" sqref="J42 L42 N42" xr:uid="{00000000-0002-0000-0100-000007000000}">
      <formula1>IF(Method=FALSE,$A42:$B42,J$13:J$14)</formula1>
    </dataValidation>
    <dataValidation type="list" allowBlank="1" showInputMessage="1" showErrorMessage="1" sqref="J43 L43 N43" xr:uid="{00000000-0002-0000-0100-000008000000}">
      <formula1>IF(Method=FALSE,$A43:$B43,J$15:J$16)</formula1>
    </dataValidation>
    <dataValidation type="list" allowBlank="1" showInputMessage="1" showErrorMessage="1" sqref="J44 L44 N44" xr:uid="{00000000-0002-0000-0100-000009000000}">
      <formula1>IF(Method=FALSE,$A44:$B44,J$17:J$18)</formula1>
    </dataValidation>
    <dataValidation type="list" allowBlank="1" showInputMessage="1" showErrorMessage="1" sqref="J45 L45 N45" xr:uid="{00000000-0002-0000-0100-00000A000000}">
      <formula1>IF(Method=FALSE,$A45:$B45,J$19:J$20)</formula1>
    </dataValidation>
    <dataValidation type="list" allowBlank="1" showInputMessage="1" showErrorMessage="1" sqref="J46 L46 N46" xr:uid="{00000000-0002-0000-0100-00000B000000}">
      <formula1>IF(Method=FALSE,$A46:$B46,J$21:J$22)</formula1>
    </dataValidation>
    <dataValidation type="list" allowBlank="1" showInputMessage="1" showErrorMessage="1" sqref="J47 L47 N47" xr:uid="{00000000-0002-0000-0100-00000C000000}">
      <formula1>IF(Method=FALSE,$A47:$B47,J$23:J$24)</formula1>
    </dataValidation>
    <dataValidation type="list" allowBlank="1" showInputMessage="1" showErrorMessage="1" sqref="J48 L48 N48" xr:uid="{00000000-0002-0000-0100-00000D000000}">
      <formula1>IF(Method=FALSE,$A48:$B48,J$25:J$26)</formula1>
    </dataValidation>
    <dataValidation type="list" allowBlank="1" showInputMessage="1" showErrorMessage="1" sqref="J49 L49 N49" xr:uid="{00000000-0002-0000-0100-00000E000000}">
      <formula1>IF(Method=FALSE,$A49:$B49,J$27:J$28)</formula1>
    </dataValidation>
    <dataValidation type="list" allowBlank="1" showInputMessage="1" showErrorMessage="1" sqref="J50 L50 N50" xr:uid="{00000000-0002-0000-0100-00000F000000}">
      <formula1>IF(Method=FALSE,$A50:$B50,J$29:J$30)</formula1>
    </dataValidation>
    <dataValidation type="list" allowBlank="1" showInputMessage="1" showErrorMessage="1" sqref="J51 L51 N51" xr:uid="{00000000-0002-0000-0100-000010000000}">
      <formula1>IF(Method=FALSE,$A51:$B51,J$31:J$32)</formula1>
    </dataValidation>
    <dataValidation type="list" allowBlank="1" showInputMessage="1" showErrorMessage="1" sqref="J52 L52 N52" xr:uid="{00000000-0002-0000-0100-000011000000}">
      <formula1>IF(Method=FALSE,$A52:$B52,J$33:J$34)</formula1>
    </dataValidation>
    <dataValidation type="list" allowBlank="1" showInputMessage="1" showErrorMessage="1" sqref="J53 L53 N53" xr:uid="{00000000-0002-0000-0100-000012000000}">
      <formula1>IF(Method=FALSE,$A53:$B53,J$35:J$36)</formula1>
    </dataValidation>
    <dataValidation type="list" allowBlank="1" showInputMessage="1" showErrorMessage="1" sqref="J55 L55 N55" xr:uid="{00000000-0002-0000-0100-000013000000}">
      <formula1>IF(Method=FALSE,$A55:$B55,J$38:J$39)</formula1>
    </dataValidation>
    <dataValidation type="list" allowBlank="1" showInputMessage="1" showErrorMessage="1" sqref="J56 L56 N56" xr:uid="{00000000-0002-0000-0100-000014000000}">
      <formula1>IF(Method=FALSE,$A56:$B56,J$40:J$41)</formula1>
    </dataValidation>
    <dataValidation type="list" allowBlank="1" showInputMessage="1" showErrorMessage="1" sqref="J57 L57 N57" xr:uid="{00000000-0002-0000-0100-000015000000}">
      <formula1>IF(Method=FALSE,$A57:$B57,J$42:J$43)</formula1>
    </dataValidation>
    <dataValidation type="list" allowBlank="1" showInputMessage="1" showErrorMessage="1" sqref="J58 L58 N58" xr:uid="{00000000-0002-0000-0100-000016000000}">
      <formula1>IF(Method=FALSE,$A58:$B58,J$44:J$45)</formula1>
    </dataValidation>
    <dataValidation type="list" allowBlank="1" showInputMessage="1" showErrorMessage="1" sqref="J59 L59 N59" xr:uid="{00000000-0002-0000-0100-000017000000}">
      <formula1>IF(Method=FALSE,$A59:$B59,J$46:J$47)</formula1>
    </dataValidation>
    <dataValidation type="list" allowBlank="1" showInputMessage="1" showErrorMessage="1" sqref="J60 L60 N60" xr:uid="{00000000-0002-0000-0100-000018000000}">
      <formula1>IF(Method=FALSE,$A60:$B60,J$48:J$49)</formula1>
    </dataValidation>
    <dataValidation type="list" allowBlank="1" showInputMessage="1" showErrorMessage="1" sqref="J61 L61 N61" xr:uid="{00000000-0002-0000-0100-000019000000}">
      <formula1>IF(Method=FALSE,$A61:$B61,J$50:J$51)</formula1>
    </dataValidation>
    <dataValidation type="list" allowBlank="1" showInputMessage="1" showErrorMessage="1" sqref="J62 L62 N62" xr:uid="{00000000-0002-0000-0100-00001A000000}">
      <formula1>IF(Method=FALSE,$A62:$B62,J$52:J$53)</formula1>
    </dataValidation>
    <dataValidation type="list" allowBlank="1" showInputMessage="1" showErrorMessage="1" sqref="J64 L64 N64" xr:uid="{00000000-0002-0000-0100-00001B000000}">
      <formula1>IF(Method=FALSE,$A64:$B64,J$55:J$56)</formula1>
    </dataValidation>
    <dataValidation type="list" allowBlank="1" showInputMessage="1" showErrorMessage="1" sqref="J65 L65 N65" xr:uid="{00000000-0002-0000-0100-00001C000000}">
      <formula1>IF(Method=FALSE,$A65:$B65,J$57:J$58)</formula1>
    </dataValidation>
    <dataValidation type="list" allowBlank="1" showInputMessage="1" showErrorMessage="1" sqref="J66 L66 N66" xr:uid="{00000000-0002-0000-0100-00001D000000}">
      <formula1>IF(Method=FALSE,$A66:$B66,J$59:J$60)</formula1>
    </dataValidation>
    <dataValidation type="list" allowBlank="1" showInputMessage="1" showErrorMessage="1" sqref="J67 L67 N67" xr:uid="{00000000-0002-0000-0100-00001E000000}">
      <formula1>IF(Method=FALSE,$A67:$B67,J$61:J$62)</formula1>
    </dataValidation>
    <dataValidation type="list" allowBlank="1" showInputMessage="1" showErrorMessage="1" sqref="J69 L69 N69" xr:uid="{00000000-0002-0000-0100-00001F000000}">
      <formula1>IF(Method=FALSE,$A69:$B69,J$64:J$65)</formula1>
    </dataValidation>
    <dataValidation type="list" allowBlank="1" showInputMessage="1" showErrorMessage="1" sqref="J70 L70 N70" xr:uid="{00000000-0002-0000-0100-000020000000}">
      <formula1>IF(Method=FALSE,$A70:$B70,J$66:J$67)</formula1>
    </dataValidation>
    <dataValidation type="list" allowBlank="1" showInputMessage="1" showErrorMessage="1" sqref="J72 L72 N72" xr:uid="{00000000-0002-0000-0100-000021000000}">
      <formula1>IF(Method=FALSE,$A72:$B72,J$69:J$70)</formula1>
    </dataValidation>
  </dataValidations>
  <pageMargins left="0.5" right="0.5" top="0.5" bottom="0.5" header="0.25" footer="0.25"/>
  <pageSetup scale="90" fitToHeight="0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J69"/>
  <sheetViews>
    <sheetView showGridLines="0" tabSelected="1" topLeftCell="A17" zoomScale="55" zoomScaleNormal="55" workbookViewId="0">
      <selection activeCell="AH47" sqref="AH47"/>
    </sheetView>
  </sheetViews>
  <sheetFormatPr defaultColWidth="9.109375" defaultRowHeight="14.4" x14ac:dyDescent="0.3"/>
  <cols>
    <col min="1" max="1" width="4.33203125" style="14" customWidth="1"/>
    <col min="2" max="2" width="5.109375" style="1" bestFit="1" customWidth="1"/>
    <col min="3" max="3" width="15.6640625" customWidth="1"/>
    <col min="4" max="4" width="4" style="1" customWidth="1"/>
    <col min="5" max="5" width="13.5546875" customWidth="1"/>
    <col min="6" max="6" width="4" style="1" customWidth="1"/>
    <col min="7" max="7" width="12.6640625" customWidth="1"/>
    <col min="8" max="8" width="3.5546875" style="1" customWidth="1"/>
    <col min="9" max="9" width="13.44140625" customWidth="1"/>
    <col min="10" max="10" width="3.6640625" style="1" customWidth="1"/>
    <col min="11" max="11" width="11.33203125" customWidth="1"/>
    <col min="12" max="12" width="4.109375" style="1" customWidth="1"/>
    <col min="13" max="13" width="2" customWidth="1"/>
    <col min="14" max="14" width="8.6640625" customWidth="1"/>
    <col min="15" max="15" width="3.44140625" style="1" customWidth="1"/>
    <col min="16" max="16" width="3.88671875" style="1" customWidth="1"/>
    <col min="17" max="17" width="7.88671875" customWidth="1"/>
    <col min="18" max="18" width="2.88671875" customWidth="1"/>
    <col min="19" max="19" width="3.6640625" style="1" customWidth="1"/>
    <col min="20" max="20" width="12" customWidth="1"/>
    <col min="21" max="21" width="3.33203125" style="1" customWidth="1"/>
    <col min="22" max="22" width="13.44140625" customWidth="1"/>
    <col min="23" max="23" width="3.6640625" style="1" customWidth="1"/>
    <col min="24" max="24" width="12.5546875" customWidth="1"/>
    <col min="25" max="25" width="3.6640625" style="1" customWidth="1"/>
    <col min="26" max="26" width="13.88671875" customWidth="1"/>
    <col min="27" max="27" width="3.5546875" style="1" customWidth="1"/>
    <col min="28" max="28" width="15.109375" customWidth="1"/>
    <col min="29" max="29" width="3.88671875" style="1" bestFit="1" customWidth="1"/>
    <col min="30" max="30" width="4.33203125" style="10" customWidth="1"/>
    <col min="31" max="31" width="3.88671875" customWidth="1"/>
    <col min="32" max="32" width="37.33203125" customWidth="1"/>
    <col min="36" max="36" width="9.109375" hidden="1" customWidth="1"/>
  </cols>
  <sheetData>
    <row r="1" spans="1:36" s="27" customFormat="1" ht="30" x14ac:dyDescent="0.25">
      <c r="A1" s="2"/>
      <c r="B1" s="85" t="s">
        <v>21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2"/>
    </row>
    <row r="2" spans="1:36" ht="19.2" customHeight="1" x14ac:dyDescent="0.25">
      <c r="A2" s="2"/>
      <c r="B2" s="47"/>
      <c r="C2" s="47" t="s">
        <v>20</v>
      </c>
      <c r="D2" s="48"/>
      <c r="E2" s="47" t="s">
        <v>7</v>
      </c>
      <c r="F2" s="48"/>
      <c r="G2" s="47" t="s">
        <v>6</v>
      </c>
      <c r="H2" s="48"/>
      <c r="I2" s="47" t="s">
        <v>5</v>
      </c>
      <c r="J2" s="48"/>
      <c r="K2" s="47" t="s">
        <v>1</v>
      </c>
      <c r="L2" s="48"/>
      <c r="M2" s="48"/>
      <c r="N2" s="74" t="s">
        <v>2</v>
      </c>
      <c r="O2" s="74"/>
      <c r="P2" s="74"/>
      <c r="Q2" s="74"/>
      <c r="R2" s="48"/>
      <c r="S2" s="48"/>
      <c r="T2" s="47" t="s">
        <v>1</v>
      </c>
      <c r="U2" s="48"/>
      <c r="V2" s="47" t="s">
        <v>5</v>
      </c>
      <c r="W2" s="48"/>
      <c r="X2" s="47" t="s">
        <v>6</v>
      </c>
      <c r="Y2" s="48"/>
      <c r="Z2" s="47" t="str">
        <f>E2</f>
        <v>Second Round</v>
      </c>
      <c r="AA2" s="48"/>
      <c r="AB2" s="47" t="str">
        <f>C2</f>
        <v>First Round</v>
      </c>
      <c r="AC2" s="47"/>
      <c r="AD2" s="2"/>
      <c r="AF2" s="50"/>
      <c r="AJ2" s="54" t="s">
        <v>19</v>
      </c>
    </row>
    <row r="3" spans="1:36" s="24" customFormat="1" ht="13.2" x14ac:dyDescent="0.25">
      <c r="A3" s="20"/>
      <c r="B3" s="15"/>
      <c r="C3" s="15"/>
      <c r="D3" s="21"/>
      <c r="E3" s="22"/>
      <c r="F3" s="23"/>
      <c r="G3" s="15"/>
      <c r="H3" s="21"/>
      <c r="I3" s="22"/>
      <c r="J3" s="23"/>
      <c r="K3" s="15"/>
      <c r="L3" s="21"/>
      <c r="M3" s="21"/>
      <c r="N3" s="22"/>
      <c r="O3" s="22"/>
      <c r="P3" s="22"/>
      <c r="Q3" s="22"/>
      <c r="R3" s="23"/>
      <c r="S3" s="23"/>
      <c r="T3" s="15"/>
      <c r="U3" s="21"/>
      <c r="V3" s="22"/>
      <c r="W3" s="23"/>
      <c r="X3" s="15"/>
      <c r="Y3" s="21"/>
      <c r="Z3" s="22"/>
      <c r="AA3" s="23"/>
      <c r="AB3" s="15"/>
      <c r="AC3" s="15"/>
      <c r="AD3" s="20"/>
      <c r="AF3" s="59"/>
      <c r="AJ3" s="55" t="s">
        <v>18</v>
      </c>
    </row>
    <row r="4" spans="1:36" ht="9.75" customHeight="1" x14ac:dyDescent="0.25">
      <c r="A4" s="2"/>
      <c r="C4" s="28"/>
      <c r="AB4" s="30"/>
      <c r="AD4" s="2"/>
      <c r="AF4" s="59"/>
    </row>
    <row r="5" spans="1:36" ht="15" thickBot="1" x14ac:dyDescent="0.3">
      <c r="A5" s="2"/>
      <c r="B5" s="17">
        <v>1</v>
      </c>
      <c r="C5" s="35"/>
      <c r="D5" s="37"/>
      <c r="E5" s="67"/>
      <c r="F5" s="64"/>
      <c r="Y5" s="64"/>
      <c r="Z5" s="67"/>
      <c r="AA5" s="40"/>
      <c r="AB5" s="56"/>
      <c r="AC5" s="17">
        <v>1</v>
      </c>
      <c r="AD5" s="2"/>
      <c r="AF5" s="59"/>
      <c r="AJ5" t="b">
        <f>IF(AE29="x",TRUE,FALSE)</f>
        <v>1</v>
      </c>
    </row>
    <row r="6" spans="1:36" ht="10.5" customHeight="1" thickBot="1" x14ac:dyDescent="0.3">
      <c r="A6" s="69">
        <f>IF($AJ$5=TRUE,1,"")</f>
        <v>1</v>
      </c>
      <c r="B6" s="16"/>
      <c r="C6" s="28"/>
      <c r="D6" s="36"/>
      <c r="E6" s="68"/>
      <c r="F6" s="65"/>
      <c r="Y6" s="65"/>
      <c r="Z6" s="68"/>
      <c r="AA6" s="6"/>
      <c r="AB6" s="57"/>
      <c r="AC6" s="16"/>
      <c r="AD6" s="69">
        <f>IF($AJ$5=TRUE,A66+1,"")</f>
        <v>17</v>
      </c>
      <c r="AF6" s="59"/>
    </row>
    <row r="7" spans="1:36" ht="13.8" thickBot="1" x14ac:dyDescent="0.3">
      <c r="A7" s="69"/>
      <c r="B7" s="17">
        <v>16</v>
      </c>
      <c r="C7" s="58"/>
      <c r="D7" s="38"/>
      <c r="E7" s="70">
        <f>IF($AJ$5=TRUE,AD66+1,"")</f>
        <v>33</v>
      </c>
      <c r="F7" s="5"/>
      <c r="G7" s="71"/>
      <c r="H7" s="64"/>
      <c r="W7" s="64"/>
      <c r="X7" s="67"/>
      <c r="Y7" s="6"/>
      <c r="Z7" s="70">
        <f>IF($AJ$5=TRUE,E63+1,"")</f>
        <v>41</v>
      </c>
      <c r="AA7" s="39"/>
      <c r="AB7" s="56"/>
      <c r="AC7" s="17">
        <v>16</v>
      </c>
      <c r="AD7" s="69"/>
      <c r="AF7" s="59"/>
    </row>
    <row r="8" spans="1:36" ht="10.199999999999999" customHeight="1" thickBot="1" x14ac:dyDescent="0.3">
      <c r="A8" s="2"/>
      <c r="B8" s="16"/>
      <c r="C8" s="28"/>
      <c r="E8" s="66"/>
      <c r="F8" s="7"/>
      <c r="G8" s="72"/>
      <c r="H8" s="65"/>
      <c r="W8" s="65"/>
      <c r="X8" s="68"/>
      <c r="Y8" s="8"/>
      <c r="Z8" s="66"/>
      <c r="AB8" s="57"/>
      <c r="AC8" s="16"/>
      <c r="AD8" s="2"/>
      <c r="AF8" s="59"/>
    </row>
    <row r="9" spans="1:36" ht="15" thickBot="1" x14ac:dyDescent="0.3">
      <c r="A9" s="2"/>
      <c r="B9" s="17">
        <v>8</v>
      </c>
      <c r="C9" s="35"/>
      <c r="D9" s="37"/>
      <c r="E9" s="67"/>
      <c r="F9" s="62"/>
      <c r="G9" s="1"/>
      <c r="H9" s="5"/>
      <c r="W9" s="6"/>
      <c r="X9" s="1"/>
      <c r="Y9" s="60"/>
      <c r="Z9" s="67"/>
      <c r="AA9" s="40"/>
      <c r="AB9" s="56"/>
      <c r="AC9" s="17">
        <v>8</v>
      </c>
      <c r="AD9" s="2"/>
      <c r="AF9" s="59"/>
    </row>
    <row r="10" spans="1:36" ht="10.5" customHeight="1" thickBot="1" x14ac:dyDescent="0.3">
      <c r="A10" s="69">
        <f>IF($AJ$5=TRUE,A6+1,"")</f>
        <v>2</v>
      </c>
      <c r="B10" s="16"/>
      <c r="C10" s="28"/>
      <c r="D10" s="36"/>
      <c r="E10" s="68"/>
      <c r="F10" s="63"/>
      <c r="G10" s="1"/>
      <c r="H10" s="7"/>
      <c r="W10" s="8"/>
      <c r="X10" s="1"/>
      <c r="Y10" s="61"/>
      <c r="Z10" s="68"/>
      <c r="AA10" s="6"/>
      <c r="AB10" s="57"/>
      <c r="AC10" s="16"/>
      <c r="AD10" s="69">
        <f>IF($AJ$5=TRUE,AD6+1,"")</f>
        <v>18</v>
      </c>
      <c r="AF10" s="59"/>
    </row>
    <row r="11" spans="1:36" ht="13.8" thickBot="1" x14ac:dyDescent="0.3">
      <c r="A11" s="69"/>
      <c r="B11" s="17">
        <v>9</v>
      </c>
      <c r="C11" s="35"/>
      <c r="D11" s="38"/>
      <c r="E11" s="1"/>
      <c r="G11" s="66">
        <f>IF($AJ$5=TRUE,Z63+1,"")</f>
        <v>49</v>
      </c>
      <c r="H11" s="7"/>
      <c r="I11" s="71"/>
      <c r="J11" s="64"/>
      <c r="U11" s="64"/>
      <c r="V11" s="67"/>
      <c r="W11" s="8"/>
      <c r="X11" s="66">
        <f>IF($AJ$5=TRUE,G59+1,"")</f>
        <v>53</v>
      </c>
      <c r="Z11" s="1"/>
      <c r="AA11" s="39"/>
      <c r="AB11" s="56"/>
      <c r="AC11" s="17">
        <v>9</v>
      </c>
      <c r="AD11" s="69"/>
      <c r="AF11" s="59"/>
    </row>
    <row r="12" spans="1:36" ht="10.5" customHeight="1" thickBot="1" x14ac:dyDescent="0.3">
      <c r="A12" s="2"/>
      <c r="B12" s="16"/>
      <c r="C12" s="28"/>
      <c r="E12" s="1"/>
      <c r="G12" s="66"/>
      <c r="H12" s="7"/>
      <c r="I12" s="72"/>
      <c r="J12" s="65"/>
      <c r="U12" s="65"/>
      <c r="V12" s="68"/>
      <c r="W12" s="8"/>
      <c r="X12" s="66"/>
      <c r="Z12" s="1"/>
      <c r="AB12" s="57"/>
      <c r="AC12" s="16"/>
      <c r="AD12" s="2"/>
    </row>
    <row r="13" spans="1:36" ht="15" thickBot="1" x14ac:dyDescent="0.3">
      <c r="A13" s="2"/>
      <c r="B13" s="17">
        <v>5</v>
      </c>
      <c r="C13" s="35"/>
      <c r="D13" s="37"/>
      <c r="E13" s="67"/>
      <c r="F13" s="64"/>
      <c r="G13" s="1"/>
      <c r="H13" s="7"/>
      <c r="J13" s="5"/>
      <c r="U13" s="6"/>
      <c r="W13" s="8"/>
      <c r="X13" s="1"/>
      <c r="Y13" s="64"/>
      <c r="Z13" s="67"/>
      <c r="AA13" s="40"/>
      <c r="AB13" s="56"/>
      <c r="AC13" s="17">
        <v>5</v>
      </c>
      <c r="AD13" s="2"/>
      <c r="AF13" s="49"/>
    </row>
    <row r="14" spans="1:36" ht="10.5" customHeight="1" thickBot="1" x14ac:dyDescent="0.3">
      <c r="A14" s="69">
        <f>IF($AJ$5=TRUE,A10+1,"")</f>
        <v>3</v>
      </c>
      <c r="B14" s="16"/>
      <c r="C14" s="28"/>
      <c r="D14" s="5"/>
      <c r="E14" s="68"/>
      <c r="F14" s="65"/>
      <c r="G14" s="1"/>
      <c r="H14" s="7"/>
      <c r="J14" s="7"/>
      <c r="U14" s="8"/>
      <c r="W14" s="8"/>
      <c r="X14" s="1"/>
      <c r="Y14" s="65"/>
      <c r="Z14" s="68"/>
      <c r="AA14" s="6"/>
      <c r="AB14" s="57"/>
      <c r="AC14" s="16"/>
      <c r="AD14" s="69">
        <f>IF($AJ$5=TRUE,AD10+1,"")</f>
        <v>19</v>
      </c>
      <c r="AF14" s="59"/>
    </row>
    <row r="15" spans="1:36" ht="13.8" thickBot="1" x14ac:dyDescent="0.3">
      <c r="A15" s="69"/>
      <c r="B15" s="17">
        <v>12</v>
      </c>
      <c r="C15" s="35"/>
      <c r="D15" s="38"/>
      <c r="E15" s="70">
        <f>IF($AJ$5=TRUE,E7+1,"")</f>
        <v>34</v>
      </c>
      <c r="F15" s="5"/>
      <c r="G15" s="71"/>
      <c r="H15" s="62"/>
      <c r="J15" s="7"/>
      <c r="U15" s="8"/>
      <c r="W15" s="60"/>
      <c r="X15" s="67"/>
      <c r="Y15" s="6"/>
      <c r="Z15" s="70">
        <f>IF($AJ$5=TRUE,Z7+1,"")</f>
        <v>42</v>
      </c>
      <c r="AA15" s="39"/>
      <c r="AB15" s="56"/>
      <c r="AC15" s="17">
        <v>12</v>
      </c>
      <c r="AD15" s="69"/>
      <c r="AF15" s="59"/>
    </row>
    <row r="16" spans="1:36" ht="10.5" customHeight="1" thickBot="1" x14ac:dyDescent="0.3">
      <c r="A16" s="2"/>
      <c r="B16" s="16"/>
      <c r="C16" s="28"/>
      <c r="E16" s="66"/>
      <c r="F16" s="7"/>
      <c r="G16" s="72"/>
      <c r="H16" s="63"/>
      <c r="J16" s="7"/>
      <c r="U16" s="8"/>
      <c r="W16" s="61"/>
      <c r="X16" s="68"/>
      <c r="Y16" s="8"/>
      <c r="Z16" s="66"/>
      <c r="AB16" s="57"/>
      <c r="AC16" s="16"/>
      <c r="AD16" s="2"/>
      <c r="AF16" s="59"/>
    </row>
    <row r="17" spans="1:32" ht="15" thickBot="1" x14ac:dyDescent="0.3">
      <c r="A17" s="2"/>
      <c r="B17" s="17">
        <v>4</v>
      </c>
      <c r="C17" s="35"/>
      <c r="D17" s="37"/>
      <c r="E17" s="67"/>
      <c r="F17" s="62"/>
      <c r="G17" s="1"/>
      <c r="J17" s="7"/>
      <c r="N17" s="31"/>
      <c r="O17" s="25"/>
      <c r="P17" s="25"/>
      <c r="Q17" s="25"/>
      <c r="U17" s="8"/>
      <c r="X17" s="1"/>
      <c r="Y17" s="60"/>
      <c r="Z17" s="67"/>
      <c r="AA17" s="40"/>
      <c r="AB17" s="56"/>
      <c r="AC17" s="17">
        <v>4</v>
      </c>
      <c r="AD17" s="2"/>
      <c r="AF17" s="59"/>
    </row>
    <row r="18" spans="1:32" ht="10.5" customHeight="1" thickBot="1" x14ac:dyDescent="0.3">
      <c r="A18" s="69">
        <f>IF($AJ$5=TRUE,A14+1,"")</f>
        <v>4</v>
      </c>
      <c r="B18" s="16"/>
      <c r="C18" s="28"/>
      <c r="D18" s="5"/>
      <c r="E18" s="68"/>
      <c r="F18" s="63"/>
      <c r="G18" s="1"/>
      <c r="J18" s="7"/>
      <c r="U18" s="8"/>
      <c r="X18" s="1"/>
      <c r="Y18" s="61"/>
      <c r="Z18" s="68"/>
      <c r="AA18" s="6"/>
      <c r="AB18" s="57"/>
      <c r="AC18" s="16"/>
      <c r="AD18" s="69">
        <f>IF($AJ$5=TRUE,AD14+1,"")</f>
        <v>20</v>
      </c>
      <c r="AF18" s="59"/>
    </row>
    <row r="19" spans="1:32" ht="13.8" thickBot="1" x14ac:dyDescent="0.3">
      <c r="A19" s="69"/>
      <c r="B19" s="17">
        <v>13</v>
      </c>
      <c r="C19" s="35"/>
      <c r="D19" s="38"/>
      <c r="E19" s="1"/>
      <c r="G19" s="1"/>
      <c r="H19" s="73" t="s">
        <v>16</v>
      </c>
      <c r="I19" s="73"/>
      <c r="J19" s="7"/>
      <c r="K19" s="71"/>
      <c r="L19" s="64"/>
      <c r="S19" s="64"/>
      <c r="T19" s="67"/>
      <c r="U19" s="8"/>
      <c r="V19" s="73" t="s">
        <v>3</v>
      </c>
      <c r="W19" s="73"/>
      <c r="X19" s="1"/>
      <c r="Z19" s="1"/>
      <c r="AA19" s="39"/>
      <c r="AB19" s="56"/>
      <c r="AC19" s="17">
        <v>13</v>
      </c>
      <c r="AD19" s="69"/>
      <c r="AF19" s="59"/>
    </row>
    <row r="20" spans="1:32" ht="10.5" customHeight="1" thickBot="1" x14ac:dyDescent="0.3">
      <c r="A20" s="2"/>
      <c r="B20" s="16"/>
      <c r="C20" s="28"/>
      <c r="E20" s="1"/>
      <c r="G20" s="1"/>
      <c r="H20" s="73"/>
      <c r="I20" s="73"/>
      <c r="J20" s="7"/>
      <c r="K20" s="72"/>
      <c r="L20" s="65"/>
      <c r="S20" s="65"/>
      <c r="T20" s="68"/>
      <c r="U20" s="8"/>
      <c r="V20" s="73"/>
      <c r="W20" s="73"/>
      <c r="X20" s="1"/>
      <c r="Z20" s="1"/>
      <c r="AB20" s="57"/>
      <c r="AC20" s="16"/>
      <c r="AD20" s="2"/>
      <c r="AF20" s="51"/>
    </row>
    <row r="21" spans="1:32" ht="15" thickBot="1" x14ac:dyDescent="0.35">
      <c r="A21" s="2"/>
      <c r="B21" s="17">
        <v>6</v>
      </c>
      <c r="C21" s="35"/>
      <c r="D21" s="37"/>
      <c r="E21" s="67"/>
      <c r="F21" s="64"/>
      <c r="G21" s="1"/>
      <c r="I21" s="10">
        <f>IF($AJ$5=TRUE,X59+1,"")</f>
        <v>57</v>
      </c>
      <c r="J21" s="7"/>
      <c r="L21" s="5"/>
      <c r="S21" s="6"/>
      <c r="U21" s="8"/>
      <c r="V21" s="9">
        <f>IF($AJ$5=TRUE,I53+1,"")</f>
        <v>59</v>
      </c>
      <c r="X21" s="1"/>
      <c r="Y21" s="64"/>
      <c r="Z21" s="67"/>
      <c r="AA21" s="40"/>
      <c r="AB21" s="56"/>
      <c r="AC21" s="17">
        <v>6</v>
      </c>
      <c r="AD21" s="2"/>
      <c r="AF21" s="49"/>
    </row>
    <row r="22" spans="1:32" ht="10.5" customHeight="1" thickBot="1" x14ac:dyDescent="0.3">
      <c r="A22" s="69">
        <f>IF($AJ$5=TRUE,A18+1,"")</f>
        <v>5</v>
      </c>
      <c r="B22" s="16"/>
      <c r="C22" s="28"/>
      <c r="D22" s="5"/>
      <c r="E22" s="68"/>
      <c r="F22" s="65"/>
      <c r="G22" s="1"/>
      <c r="J22" s="7"/>
      <c r="L22" s="7"/>
      <c r="S22" s="8"/>
      <c r="U22" s="8"/>
      <c r="X22" s="1"/>
      <c r="Y22" s="65"/>
      <c r="Z22" s="68"/>
      <c r="AA22" s="6"/>
      <c r="AB22" s="57"/>
      <c r="AC22" s="16"/>
      <c r="AD22" s="69">
        <f>IF($AJ$5=TRUE,AD18+1,"")</f>
        <v>21</v>
      </c>
      <c r="AF22" s="59"/>
    </row>
    <row r="23" spans="1:32" ht="13.8" thickBot="1" x14ac:dyDescent="0.3">
      <c r="A23" s="69"/>
      <c r="B23" s="17">
        <v>11</v>
      </c>
      <c r="C23" s="58"/>
      <c r="D23" s="38"/>
      <c r="E23" s="70">
        <f>IF($AJ$5=TRUE,E15+1,"")</f>
        <v>35</v>
      </c>
      <c r="F23" s="5"/>
      <c r="G23" s="71"/>
      <c r="H23" s="64"/>
      <c r="J23" s="7"/>
      <c r="L23" s="7"/>
      <c r="S23" s="8"/>
      <c r="U23" s="8"/>
      <c r="W23" s="64"/>
      <c r="X23" s="67"/>
      <c r="Y23" s="6"/>
      <c r="Z23" s="70">
        <f>IF($AJ$5=TRUE,Z15+1,"")</f>
        <v>43</v>
      </c>
      <c r="AA23" s="39"/>
      <c r="AB23" s="56"/>
      <c r="AC23" s="17">
        <v>11</v>
      </c>
      <c r="AD23" s="69"/>
      <c r="AF23" s="59"/>
    </row>
    <row r="24" spans="1:32" ht="10.5" customHeight="1" thickBot="1" x14ac:dyDescent="0.3">
      <c r="A24" s="2"/>
      <c r="B24" s="16"/>
      <c r="C24" s="28"/>
      <c r="E24" s="66"/>
      <c r="F24" s="7"/>
      <c r="G24" s="72"/>
      <c r="H24" s="65"/>
      <c r="J24" s="7"/>
      <c r="L24" s="7"/>
      <c r="S24" s="8"/>
      <c r="U24" s="8"/>
      <c r="W24" s="65"/>
      <c r="X24" s="68"/>
      <c r="Y24" s="8"/>
      <c r="Z24" s="66"/>
      <c r="AB24" s="57"/>
      <c r="AC24" s="16"/>
      <c r="AD24" s="2"/>
      <c r="AF24" s="59"/>
    </row>
    <row r="25" spans="1:32" ht="15" thickBot="1" x14ac:dyDescent="0.3">
      <c r="A25" s="2"/>
      <c r="B25" s="17">
        <v>3</v>
      </c>
      <c r="C25" s="35"/>
      <c r="D25" s="37"/>
      <c r="E25" s="67"/>
      <c r="F25" s="62"/>
      <c r="G25" s="1"/>
      <c r="H25" s="5"/>
      <c r="J25" s="7"/>
      <c r="L25" s="7"/>
      <c r="S25" s="8"/>
      <c r="U25" s="8"/>
      <c r="W25" s="6"/>
      <c r="X25" s="1"/>
      <c r="Y25" s="60"/>
      <c r="Z25" s="67"/>
      <c r="AA25" s="40"/>
      <c r="AB25" s="56"/>
      <c r="AC25" s="17">
        <v>3</v>
      </c>
      <c r="AD25" s="2"/>
      <c r="AF25" s="59"/>
    </row>
    <row r="26" spans="1:32" ht="10.5" customHeight="1" thickBot="1" x14ac:dyDescent="0.3">
      <c r="A26" s="69">
        <f>IF($AJ$5=TRUE,A22+1,"")</f>
        <v>6</v>
      </c>
      <c r="B26" s="16"/>
      <c r="C26" s="28"/>
      <c r="D26" s="5"/>
      <c r="E26" s="68"/>
      <c r="F26" s="63"/>
      <c r="G26" s="1"/>
      <c r="H26" s="7"/>
      <c r="J26" s="7"/>
      <c r="L26" s="7"/>
      <c r="S26" s="8"/>
      <c r="U26" s="8"/>
      <c r="W26" s="8"/>
      <c r="X26" s="1"/>
      <c r="Y26" s="61"/>
      <c r="Z26" s="68"/>
      <c r="AA26" s="6"/>
      <c r="AB26" s="57"/>
      <c r="AC26" s="16"/>
      <c r="AD26" s="69">
        <f>IF($AJ$5=TRUE,AD22+1,"")</f>
        <v>22</v>
      </c>
      <c r="AF26" s="59"/>
    </row>
    <row r="27" spans="1:32" ht="13.8" thickBot="1" x14ac:dyDescent="0.3">
      <c r="A27" s="69"/>
      <c r="B27" s="17">
        <v>14</v>
      </c>
      <c r="C27" s="35"/>
      <c r="D27" s="38"/>
      <c r="E27" s="1"/>
      <c r="G27" s="66">
        <f>IF($AJ$5=TRUE,G11+1,"")</f>
        <v>50</v>
      </c>
      <c r="H27" s="7"/>
      <c r="I27" s="71"/>
      <c r="J27" s="62"/>
      <c r="L27" s="7"/>
      <c r="M27" s="71"/>
      <c r="N27" s="67"/>
      <c r="O27" s="67"/>
      <c r="P27" s="64"/>
      <c r="Q27" s="1"/>
      <c r="S27" s="8"/>
      <c r="U27" s="60"/>
      <c r="V27" s="67"/>
      <c r="W27" s="8"/>
      <c r="X27" s="66">
        <f>IF($AJ$5=TRUE,X11+1,"")</f>
        <v>54</v>
      </c>
      <c r="Z27" s="1"/>
      <c r="AA27" s="39"/>
      <c r="AB27" s="56"/>
      <c r="AC27" s="17">
        <v>14</v>
      </c>
      <c r="AD27" s="69"/>
      <c r="AF27" s="59"/>
    </row>
    <row r="28" spans="1:32" ht="10.5" customHeight="1" thickBot="1" x14ac:dyDescent="0.3">
      <c r="A28" s="2"/>
      <c r="B28" s="16"/>
      <c r="C28" s="28"/>
      <c r="E28" s="1"/>
      <c r="G28" s="66"/>
      <c r="H28" s="7"/>
      <c r="I28" s="72"/>
      <c r="J28" s="63"/>
      <c r="L28" s="7"/>
      <c r="M28" s="72"/>
      <c r="N28" s="68"/>
      <c r="O28" s="68"/>
      <c r="P28" s="65"/>
      <c r="Q28" s="1"/>
      <c r="S28" s="8"/>
      <c r="U28" s="61"/>
      <c r="V28" s="68"/>
      <c r="W28" s="8"/>
      <c r="X28" s="66"/>
      <c r="Z28" s="1"/>
      <c r="AB28" s="57"/>
      <c r="AC28" s="16"/>
      <c r="AD28" s="2"/>
    </row>
    <row r="29" spans="1:32" ht="15" thickBot="1" x14ac:dyDescent="0.3">
      <c r="A29" s="2"/>
      <c r="B29" s="17">
        <v>7</v>
      </c>
      <c r="C29" s="35"/>
      <c r="D29" s="37"/>
      <c r="E29" s="67"/>
      <c r="F29" s="64"/>
      <c r="G29" s="1"/>
      <c r="H29" s="7"/>
      <c r="L29" s="7"/>
      <c r="S29" s="8"/>
      <c r="W29" s="8"/>
      <c r="X29" s="1"/>
      <c r="Y29" s="64"/>
      <c r="Z29" s="67"/>
      <c r="AA29" s="40"/>
      <c r="AB29" s="56"/>
      <c r="AC29" s="17">
        <v>7</v>
      </c>
      <c r="AD29" s="2"/>
      <c r="AE29" s="53" t="s">
        <v>18</v>
      </c>
      <c r="AF29" s="52" t="s">
        <v>17</v>
      </c>
    </row>
    <row r="30" spans="1:32" ht="10.199999999999999" customHeight="1" thickBot="1" x14ac:dyDescent="0.3">
      <c r="A30" s="69">
        <f>IF($AJ$5=TRUE,A26+1,"")</f>
        <v>7</v>
      </c>
      <c r="B30" s="16"/>
      <c r="C30" s="28"/>
      <c r="D30" s="5"/>
      <c r="E30" s="68"/>
      <c r="F30" s="65"/>
      <c r="G30" s="1"/>
      <c r="H30" s="7"/>
      <c r="L30" s="7"/>
      <c r="S30" s="8"/>
      <c r="W30" s="8"/>
      <c r="X30" s="1"/>
      <c r="Y30" s="65"/>
      <c r="Z30" s="68"/>
      <c r="AA30" s="6"/>
      <c r="AB30" s="57"/>
      <c r="AC30" s="16"/>
      <c r="AD30" s="69">
        <f>IF($AJ$5=TRUE,AD26+1,"")</f>
        <v>23</v>
      </c>
    </row>
    <row r="31" spans="1:32" thickBot="1" x14ac:dyDescent="0.3">
      <c r="A31" s="69"/>
      <c r="B31" s="17">
        <v>10</v>
      </c>
      <c r="C31" s="35"/>
      <c r="D31" s="38"/>
      <c r="E31" s="70">
        <f>IF($AJ$5=TRUE,E23+1,"")</f>
        <v>36</v>
      </c>
      <c r="F31" s="5"/>
      <c r="G31" s="71"/>
      <c r="H31" s="62"/>
      <c r="L31" s="7"/>
      <c r="M31" s="11"/>
      <c r="N31" s="67" t="s">
        <v>0</v>
      </c>
      <c r="O31" s="67"/>
      <c r="P31" s="67"/>
      <c r="Q31" s="67"/>
      <c r="R31" s="12"/>
      <c r="S31" s="8"/>
      <c r="W31" s="60"/>
      <c r="X31" s="67"/>
      <c r="Y31" s="6"/>
      <c r="Z31" s="70">
        <f>IF($AJ$5=TRUE,Z23+1,"")</f>
        <v>44</v>
      </c>
      <c r="AA31" s="39"/>
      <c r="AB31" s="56"/>
      <c r="AC31" s="17">
        <v>10</v>
      </c>
      <c r="AD31" s="69"/>
    </row>
    <row r="32" spans="1:32" ht="10.5" customHeight="1" thickBot="1" x14ac:dyDescent="0.3">
      <c r="A32" s="2"/>
      <c r="B32" s="16"/>
      <c r="C32" s="28"/>
      <c r="E32" s="66"/>
      <c r="F32" s="7"/>
      <c r="G32" s="72"/>
      <c r="H32" s="63"/>
      <c r="L32" s="7"/>
      <c r="M32" s="3"/>
      <c r="N32" s="75"/>
      <c r="O32" s="76"/>
      <c r="P32" s="76"/>
      <c r="Q32" s="77"/>
      <c r="R32" s="4"/>
      <c r="S32" s="8"/>
      <c r="W32" s="61"/>
      <c r="X32" s="68"/>
      <c r="Y32" s="8"/>
      <c r="Z32" s="66"/>
      <c r="AB32" s="57"/>
      <c r="AC32" s="16"/>
      <c r="AD32" s="2"/>
    </row>
    <row r="33" spans="1:32" ht="15" thickBot="1" x14ac:dyDescent="0.3">
      <c r="A33" s="2"/>
      <c r="B33" s="17">
        <v>2</v>
      </c>
      <c r="C33" s="35"/>
      <c r="D33" s="37"/>
      <c r="E33" s="67"/>
      <c r="F33" s="62"/>
      <c r="G33" s="1"/>
      <c r="L33" s="7"/>
      <c r="M33" s="3"/>
      <c r="N33" s="78"/>
      <c r="O33" s="79"/>
      <c r="P33" s="79"/>
      <c r="Q33" s="80"/>
      <c r="R33" s="4"/>
      <c r="S33" s="8"/>
      <c r="X33" s="1"/>
      <c r="Y33" s="60"/>
      <c r="Z33" s="67"/>
      <c r="AA33" s="40"/>
      <c r="AB33" s="56"/>
      <c r="AC33" s="17">
        <v>2</v>
      </c>
      <c r="AD33" s="2"/>
      <c r="AF33" s="49"/>
    </row>
    <row r="34" spans="1:32" ht="10.5" customHeight="1" thickBot="1" x14ac:dyDescent="0.3">
      <c r="A34" s="69">
        <f>IF($AJ$5=TRUE,A30+1,"")</f>
        <v>8</v>
      </c>
      <c r="B34" s="16"/>
      <c r="C34" s="28"/>
      <c r="D34" s="5"/>
      <c r="E34" s="68"/>
      <c r="F34" s="63"/>
      <c r="G34" s="1"/>
      <c r="L34" s="7"/>
      <c r="S34" s="8"/>
      <c r="X34" s="1"/>
      <c r="Y34" s="61"/>
      <c r="Z34" s="68"/>
      <c r="AA34" s="6"/>
      <c r="AB34" s="57"/>
      <c r="AC34" s="16"/>
      <c r="AD34" s="69">
        <f>IF($AJ$5=TRUE,AD30+1,"")</f>
        <v>24</v>
      </c>
      <c r="AF34" s="59"/>
    </row>
    <row r="35" spans="1:32" ht="15" thickBot="1" x14ac:dyDescent="0.35">
      <c r="A35" s="69"/>
      <c r="B35" s="17">
        <v>15</v>
      </c>
      <c r="C35" s="35"/>
      <c r="D35" s="38"/>
      <c r="E35" s="1"/>
      <c r="G35" s="1"/>
      <c r="K35" s="10">
        <f>IF($AJ$5=TRUE,V53+1,"")</f>
        <v>61</v>
      </c>
      <c r="L35" s="7"/>
      <c r="O35" s="66">
        <f>IF($AJ$5=TRUE,T35+1,"")</f>
        <v>63</v>
      </c>
      <c r="P35" s="66"/>
      <c r="S35" s="8"/>
      <c r="T35" s="9">
        <f>IF($AJ$5=TRUE,K35+1,"")</f>
        <v>62</v>
      </c>
      <c r="X35" s="1"/>
      <c r="Z35" s="1"/>
      <c r="AA35" s="39"/>
      <c r="AB35" s="56"/>
      <c r="AC35" s="17">
        <v>15</v>
      </c>
      <c r="AD35" s="69"/>
      <c r="AF35" s="59"/>
    </row>
    <row r="36" spans="1:32" ht="10.5" customHeight="1" x14ac:dyDescent="0.25">
      <c r="A36" s="2"/>
      <c r="B36" s="16"/>
      <c r="C36" s="28"/>
      <c r="E36" s="1"/>
      <c r="G36" s="1"/>
      <c r="L36" s="7"/>
      <c r="S36" s="8"/>
      <c r="X36" s="1"/>
      <c r="Z36" s="1"/>
      <c r="AB36" s="57"/>
      <c r="AC36" s="16"/>
      <c r="AD36" s="2"/>
      <c r="AF36" s="59"/>
    </row>
    <row r="37" spans="1:32" ht="15" thickBot="1" x14ac:dyDescent="0.3">
      <c r="A37" s="2"/>
      <c r="B37" s="17">
        <v>1</v>
      </c>
      <c r="C37" s="35"/>
      <c r="D37" s="37"/>
      <c r="E37" s="67"/>
      <c r="F37" s="64"/>
      <c r="G37" s="1"/>
      <c r="L37" s="7"/>
      <c r="S37" s="8"/>
      <c r="X37" s="1"/>
      <c r="Y37" s="64"/>
      <c r="Z37" s="67"/>
      <c r="AA37" s="40"/>
      <c r="AB37" s="56"/>
      <c r="AC37" s="17">
        <v>1</v>
      </c>
      <c r="AD37" s="2"/>
      <c r="AF37" s="59"/>
    </row>
    <row r="38" spans="1:32" ht="10.5" customHeight="1" thickBot="1" x14ac:dyDescent="0.3">
      <c r="A38" s="69">
        <f>IF($AJ$5=TRUE,A34+1,"")</f>
        <v>9</v>
      </c>
      <c r="B38" s="16"/>
      <c r="C38" s="28"/>
      <c r="D38" s="5"/>
      <c r="E38" s="68"/>
      <c r="F38" s="65"/>
      <c r="G38" s="1"/>
      <c r="L38" s="7"/>
      <c r="S38" s="8"/>
      <c r="X38" s="1"/>
      <c r="Y38" s="65"/>
      <c r="Z38" s="68"/>
      <c r="AA38" s="6"/>
      <c r="AB38" s="57"/>
      <c r="AC38" s="16"/>
      <c r="AD38" s="69">
        <f>IF($AJ$5=TRUE,AD34+1,"")</f>
        <v>25</v>
      </c>
    </row>
    <row r="39" spans="1:32" ht="13.8" thickBot="1" x14ac:dyDescent="0.3">
      <c r="A39" s="69"/>
      <c r="B39" s="17">
        <v>16</v>
      </c>
      <c r="C39" s="35"/>
      <c r="D39" s="38"/>
      <c r="E39" s="70">
        <f>IF($AJ$5=TRUE,E31+1,"")</f>
        <v>37</v>
      </c>
      <c r="F39" s="5"/>
      <c r="G39" s="71"/>
      <c r="H39" s="64"/>
      <c r="L39" s="7"/>
      <c r="O39" s="64"/>
      <c r="P39" s="67"/>
      <c r="Q39" s="67"/>
      <c r="R39" s="81"/>
      <c r="S39" s="8"/>
      <c r="W39" s="64"/>
      <c r="X39" s="67"/>
      <c r="Y39" s="6"/>
      <c r="Z39" s="70">
        <f>IF($AJ$5=TRUE,Z31+1,"")</f>
        <v>45</v>
      </c>
      <c r="AA39" s="39"/>
      <c r="AB39" s="56"/>
      <c r="AC39" s="17">
        <v>16</v>
      </c>
      <c r="AD39" s="69"/>
    </row>
    <row r="40" spans="1:32" ht="10.5" customHeight="1" thickBot="1" x14ac:dyDescent="0.3">
      <c r="A40" s="2"/>
      <c r="B40" s="16"/>
      <c r="C40" s="28"/>
      <c r="E40" s="66"/>
      <c r="F40" s="7"/>
      <c r="G40" s="72"/>
      <c r="H40" s="65"/>
      <c r="L40" s="7"/>
      <c r="O40" s="65"/>
      <c r="P40" s="68"/>
      <c r="Q40" s="68"/>
      <c r="R40" s="82"/>
      <c r="S40" s="8"/>
      <c r="W40" s="65"/>
      <c r="X40" s="68"/>
      <c r="Y40" s="8"/>
      <c r="Z40" s="66"/>
      <c r="AB40" s="57"/>
      <c r="AC40" s="16"/>
      <c r="AD40" s="2"/>
    </row>
    <row r="41" spans="1:32" ht="15" thickBot="1" x14ac:dyDescent="0.3">
      <c r="A41" s="2"/>
      <c r="B41" s="17">
        <v>8</v>
      </c>
      <c r="C41" s="35"/>
      <c r="D41" s="37"/>
      <c r="E41" s="67"/>
      <c r="F41" s="62"/>
      <c r="G41" s="1"/>
      <c r="H41" s="5"/>
      <c r="L41" s="7"/>
      <c r="S41" s="8"/>
      <c r="W41" s="6"/>
      <c r="X41" s="1"/>
      <c r="Y41" s="60"/>
      <c r="Z41" s="67"/>
      <c r="AA41" s="40"/>
      <c r="AB41" s="56"/>
      <c r="AC41" s="17">
        <v>8</v>
      </c>
      <c r="AD41" s="2"/>
    </row>
    <row r="42" spans="1:32" ht="10.5" customHeight="1" thickBot="1" x14ac:dyDescent="0.3">
      <c r="A42" s="69">
        <f>IF($AJ$5=TRUE,A38+1,"")</f>
        <v>10</v>
      </c>
      <c r="B42" s="16"/>
      <c r="C42" s="28"/>
      <c r="D42" s="5"/>
      <c r="E42" s="68"/>
      <c r="F42" s="63"/>
      <c r="G42" s="1"/>
      <c r="H42" s="7"/>
      <c r="L42" s="7"/>
      <c r="S42" s="8"/>
      <c r="W42" s="8"/>
      <c r="X42" s="1"/>
      <c r="Y42" s="61"/>
      <c r="Z42" s="68"/>
      <c r="AA42" s="6"/>
      <c r="AB42" s="57"/>
      <c r="AC42" s="16"/>
      <c r="AD42" s="69">
        <f>IF($AJ$5=TRUE,AD38+1,"")</f>
        <v>26</v>
      </c>
    </row>
    <row r="43" spans="1:32" ht="13.8" thickBot="1" x14ac:dyDescent="0.3">
      <c r="A43" s="69"/>
      <c r="B43" s="17">
        <v>9</v>
      </c>
      <c r="C43" s="35"/>
      <c r="D43" s="38"/>
      <c r="E43" s="1"/>
      <c r="G43" s="66">
        <f>IF($AJ$5=TRUE,G27+1,"")</f>
        <v>51</v>
      </c>
      <c r="H43" s="7"/>
      <c r="I43" s="71"/>
      <c r="J43" s="64"/>
      <c r="L43" s="7"/>
      <c r="S43" s="8"/>
      <c r="U43" s="64"/>
      <c r="V43" s="67"/>
      <c r="W43" s="8"/>
      <c r="X43" s="66">
        <f>IF($AJ$5=TRUE,X27+1,"")</f>
        <v>55</v>
      </c>
      <c r="Z43" s="1"/>
      <c r="AA43" s="39"/>
      <c r="AB43" s="56"/>
      <c r="AC43" s="17">
        <v>9</v>
      </c>
      <c r="AD43" s="69"/>
    </row>
    <row r="44" spans="1:32" ht="10.5" customHeight="1" thickBot="1" x14ac:dyDescent="0.3">
      <c r="A44" s="2"/>
      <c r="B44" s="16"/>
      <c r="C44" s="28"/>
      <c r="E44" s="1"/>
      <c r="G44" s="66"/>
      <c r="H44" s="7"/>
      <c r="I44" s="72"/>
      <c r="J44" s="65"/>
      <c r="L44" s="7"/>
      <c r="S44" s="8"/>
      <c r="U44" s="65"/>
      <c r="V44" s="68"/>
      <c r="W44" s="8"/>
      <c r="X44" s="66"/>
      <c r="Z44" s="1"/>
      <c r="AB44" s="57"/>
      <c r="AC44" s="16"/>
      <c r="AD44" s="2"/>
    </row>
    <row r="45" spans="1:32" ht="15" thickBot="1" x14ac:dyDescent="0.3">
      <c r="A45" s="2"/>
      <c r="B45" s="17">
        <v>5</v>
      </c>
      <c r="C45" s="35"/>
      <c r="D45" s="37"/>
      <c r="E45" s="67"/>
      <c r="F45" s="64"/>
      <c r="G45" s="1"/>
      <c r="H45" s="7"/>
      <c r="J45" s="5"/>
      <c r="L45" s="7"/>
      <c r="S45" s="8"/>
      <c r="U45" s="6"/>
      <c r="W45" s="8"/>
      <c r="X45" s="1"/>
      <c r="Y45" s="64"/>
      <c r="Z45" s="67"/>
      <c r="AA45" s="40"/>
      <c r="AB45" s="56"/>
      <c r="AC45" s="17">
        <v>5</v>
      </c>
      <c r="AD45" s="2"/>
    </row>
    <row r="46" spans="1:32" ht="10.5" customHeight="1" thickBot="1" x14ac:dyDescent="0.3">
      <c r="A46" s="69">
        <f>IF($AJ$5=TRUE,A42+1,"")</f>
        <v>11</v>
      </c>
      <c r="B46" s="16"/>
      <c r="C46" s="28"/>
      <c r="D46" s="5"/>
      <c r="E46" s="68"/>
      <c r="F46" s="65"/>
      <c r="G46" s="1"/>
      <c r="H46" s="7"/>
      <c r="J46" s="7"/>
      <c r="L46" s="7"/>
      <c r="S46" s="8"/>
      <c r="U46" s="8"/>
      <c r="W46" s="8"/>
      <c r="X46" s="1"/>
      <c r="Y46" s="65"/>
      <c r="Z46" s="68"/>
      <c r="AA46" s="6"/>
      <c r="AB46" s="57"/>
      <c r="AC46" s="16"/>
      <c r="AD46" s="69">
        <f>IF($AJ$5=TRUE,AD42+1,"")</f>
        <v>27</v>
      </c>
    </row>
    <row r="47" spans="1:32" ht="13.8" thickBot="1" x14ac:dyDescent="0.3">
      <c r="A47" s="69"/>
      <c r="B47" s="17">
        <v>12</v>
      </c>
      <c r="C47" s="29"/>
      <c r="D47" s="38"/>
      <c r="E47" s="70">
        <f>IF($AJ$5=TRUE,E39+1,"")</f>
        <v>38</v>
      </c>
      <c r="F47" s="5"/>
      <c r="G47" s="71"/>
      <c r="H47" s="62"/>
      <c r="J47" s="7"/>
      <c r="L47" s="7"/>
      <c r="S47" s="8"/>
      <c r="U47" s="8"/>
      <c r="W47" s="60"/>
      <c r="X47" s="67"/>
      <c r="Y47" s="6"/>
      <c r="Z47" s="70">
        <f>IF($AJ$5=TRUE,Z39+1,"")</f>
        <v>46</v>
      </c>
      <c r="AA47" s="39"/>
      <c r="AB47" s="56"/>
      <c r="AC47" s="17">
        <v>12</v>
      </c>
      <c r="AD47" s="69"/>
    </row>
    <row r="48" spans="1:32" ht="10.5" customHeight="1" thickBot="1" x14ac:dyDescent="0.3">
      <c r="A48" s="2"/>
      <c r="B48" s="16"/>
      <c r="C48" s="28"/>
      <c r="E48" s="66"/>
      <c r="F48" s="7"/>
      <c r="G48" s="72"/>
      <c r="H48" s="63"/>
      <c r="J48" s="7"/>
      <c r="L48" s="7"/>
      <c r="S48" s="8"/>
      <c r="U48" s="8"/>
      <c r="W48" s="61"/>
      <c r="X48" s="68"/>
      <c r="Y48" s="8"/>
      <c r="Z48" s="66"/>
      <c r="AB48" s="57"/>
      <c r="AC48" s="16"/>
      <c r="AD48" s="2"/>
    </row>
    <row r="49" spans="1:30" ht="15" thickBot="1" x14ac:dyDescent="0.3">
      <c r="A49" s="2"/>
      <c r="B49" s="17">
        <v>4</v>
      </c>
      <c r="C49" s="35"/>
      <c r="D49" s="37"/>
      <c r="E49" s="67"/>
      <c r="F49" s="62"/>
      <c r="G49" s="1"/>
      <c r="J49" s="7"/>
      <c r="L49" s="7"/>
      <c r="S49" s="8"/>
      <c r="U49" s="8"/>
      <c r="X49" s="1"/>
      <c r="Y49" s="60"/>
      <c r="Z49" s="67"/>
      <c r="AA49" s="40"/>
      <c r="AB49" s="56"/>
      <c r="AC49" s="17">
        <v>4</v>
      </c>
      <c r="AD49" s="2"/>
    </row>
    <row r="50" spans="1:30" ht="10.5" customHeight="1" thickBot="1" x14ac:dyDescent="0.3">
      <c r="A50" s="69">
        <f>IF($AJ$5=TRUE,A46+1,"")</f>
        <v>12</v>
      </c>
      <c r="B50" s="16"/>
      <c r="C50" s="28"/>
      <c r="D50" s="5"/>
      <c r="E50" s="68"/>
      <c r="F50" s="63"/>
      <c r="G50" s="1"/>
      <c r="J50" s="7"/>
      <c r="L50" s="7"/>
      <c r="S50" s="8"/>
      <c r="U50" s="8"/>
      <c r="X50" s="1"/>
      <c r="Y50" s="61"/>
      <c r="Z50" s="68"/>
      <c r="AA50" s="6"/>
      <c r="AB50" s="57"/>
      <c r="AC50" s="16"/>
      <c r="AD50" s="69">
        <f>IF($AJ$5=TRUE,AD46+1,"")</f>
        <v>28</v>
      </c>
    </row>
    <row r="51" spans="1:30" ht="13.8" thickBot="1" x14ac:dyDescent="0.3">
      <c r="A51" s="69"/>
      <c r="B51" s="17">
        <v>13</v>
      </c>
      <c r="C51" s="35"/>
      <c r="D51" s="38"/>
      <c r="E51" s="1"/>
      <c r="G51" s="1"/>
      <c r="H51" s="73" t="s">
        <v>4</v>
      </c>
      <c r="I51" s="73"/>
      <c r="J51" s="7"/>
      <c r="K51" s="71"/>
      <c r="L51" s="62"/>
      <c r="S51" s="60"/>
      <c r="T51" s="67"/>
      <c r="U51" s="8"/>
      <c r="V51" s="73" t="s">
        <v>15</v>
      </c>
      <c r="W51" s="73"/>
      <c r="X51" s="1"/>
      <c r="Z51" s="1"/>
      <c r="AA51" s="39"/>
      <c r="AB51" s="56"/>
      <c r="AC51" s="17">
        <v>13</v>
      </c>
      <c r="AD51" s="69"/>
    </row>
    <row r="52" spans="1:30" ht="10.5" customHeight="1" thickBot="1" x14ac:dyDescent="0.3">
      <c r="A52" s="2"/>
      <c r="B52" s="16"/>
      <c r="C52" s="28"/>
      <c r="E52" s="1"/>
      <c r="G52" s="1"/>
      <c r="H52" s="73"/>
      <c r="I52" s="73"/>
      <c r="J52" s="7"/>
      <c r="K52" s="72"/>
      <c r="L52" s="63"/>
      <c r="S52" s="61"/>
      <c r="T52" s="68"/>
      <c r="U52" s="8"/>
      <c r="V52" s="73"/>
      <c r="W52" s="73"/>
      <c r="X52" s="1"/>
      <c r="Z52" s="1"/>
      <c r="AB52" s="57"/>
      <c r="AC52" s="16"/>
      <c r="AD52" s="2"/>
    </row>
    <row r="53" spans="1:30" ht="15" thickBot="1" x14ac:dyDescent="0.35">
      <c r="A53" s="2"/>
      <c r="B53" s="17">
        <v>6</v>
      </c>
      <c r="C53" s="35"/>
      <c r="D53" s="37"/>
      <c r="E53" s="67"/>
      <c r="F53" s="64"/>
      <c r="G53" s="1"/>
      <c r="I53" s="10">
        <f>IF($AJ$5=TRUE,I21+1,"")</f>
        <v>58</v>
      </c>
      <c r="J53" s="7"/>
      <c r="L53" s="13"/>
      <c r="U53" s="8"/>
      <c r="V53" s="9">
        <f>IF($AJ$5=TRUE,V21+1,"")</f>
        <v>60</v>
      </c>
      <c r="X53" s="1"/>
      <c r="Y53" s="64"/>
      <c r="Z53" s="67"/>
      <c r="AA53" s="40"/>
      <c r="AB53" s="56"/>
      <c r="AC53" s="17">
        <v>6</v>
      </c>
      <c r="AD53" s="2"/>
    </row>
    <row r="54" spans="1:30" ht="10.5" customHeight="1" thickBot="1" x14ac:dyDescent="0.3">
      <c r="A54" s="69">
        <f>IF($AJ$5=TRUE,A50+1,"")</f>
        <v>13</v>
      </c>
      <c r="B54" s="16"/>
      <c r="C54" s="28"/>
      <c r="D54" s="5"/>
      <c r="E54" s="68"/>
      <c r="F54" s="65"/>
      <c r="G54" s="1"/>
      <c r="J54" s="7"/>
      <c r="U54" s="8"/>
      <c r="X54" s="1"/>
      <c r="Y54" s="65"/>
      <c r="Z54" s="68"/>
      <c r="AA54" s="6"/>
      <c r="AB54" s="57"/>
      <c r="AC54" s="16"/>
      <c r="AD54" s="69">
        <f>IF($AJ$5=TRUE,AD50+1,"")</f>
        <v>29</v>
      </c>
    </row>
    <row r="55" spans="1:30" ht="13.8" thickBot="1" x14ac:dyDescent="0.3">
      <c r="A55" s="69"/>
      <c r="B55" s="17">
        <v>11</v>
      </c>
      <c r="C55" s="35"/>
      <c r="D55" s="38"/>
      <c r="E55" s="70">
        <f>IF($AJ$5=TRUE,E47+1,"")</f>
        <v>39</v>
      </c>
      <c r="F55" s="5"/>
      <c r="G55" s="71"/>
      <c r="H55" s="64"/>
      <c r="J55" s="7"/>
      <c r="U55" s="8"/>
      <c r="W55" s="64"/>
      <c r="X55" s="67"/>
      <c r="Y55" s="6"/>
      <c r="Z55" s="70">
        <f>IF($AJ$5=TRUE,Z47+1,"")</f>
        <v>47</v>
      </c>
      <c r="AA55" s="39"/>
      <c r="AB55" s="56"/>
      <c r="AC55" s="18">
        <v>11</v>
      </c>
      <c r="AD55" s="69"/>
    </row>
    <row r="56" spans="1:30" ht="10.5" customHeight="1" thickBot="1" x14ac:dyDescent="0.3">
      <c r="A56" s="2"/>
      <c r="B56" s="16"/>
      <c r="C56" s="28"/>
      <c r="E56" s="66"/>
      <c r="F56" s="7"/>
      <c r="G56" s="72"/>
      <c r="H56" s="65"/>
      <c r="J56" s="7"/>
      <c r="U56" s="8"/>
      <c r="W56" s="65"/>
      <c r="X56" s="68"/>
      <c r="Y56" s="8"/>
      <c r="Z56" s="66"/>
      <c r="AB56" s="57"/>
      <c r="AC56" s="16"/>
      <c r="AD56" s="2"/>
    </row>
    <row r="57" spans="1:30" ht="15" thickBot="1" x14ac:dyDescent="0.3">
      <c r="A57" s="2"/>
      <c r="B57" s="17">
        <v>3</v>
      </c>
      <c r="C57" s="35"/>
      <c r="D57" s="37"/>
      <c r="E57" s="67"/>
      <c r="F57" s="62"/>
      <c r="G57" s="1"/>
      <c r="H57" s="5"/>
      <c r="J57" s="7"/>
      <c r="U57" s="8"/>
      <c r="W57" s="6"/>
      <c r="X57" s="1"/>
      <c r="Y57" s="60"/>
      <c r="Z57" s="67"/>
      <c r="AA57" s="40"/>
      <c r="AB57" s="56"/>
      <c r="AC57" s="17">
        <v>3</v>
      </c>
      <c r="AD57" s="2"/>
    </row>
    <row r="58" spans="1:30" ht="10.5" customHeight="1" thickBot="1" x14ac:dyDescent="0.3">
      <c r="A58" s="69">
        <f>IF($AJ$5=TRUE,A54+1,"")</f>
        <v>14</v>
      </c>
      <c r="B58" s="16"/>
      <c r="C58" s="28"/>
      <c r="D58" s="5"/>
      <c r="E58" s="68"/>
      <c r="F58" s="63"/>
      <c r="G58" s="1"/>
      <c r="H58" s="7"/>
      <c r="J58" s="7"/>
      <c r="U58" s="8"/>
      <c r="W58" s="8"/>
      <c r="X58" s="1"/>
      <c r="Y58" s="61"/>
      <c r="Z58" s="68"/>
      <c r="AA58" s="6"/>
      <c r="AB58" s="57"/>
      <c r="AC58" s="16"/>
      <c r="AD58" s="69">
        <f>IF($AJ$5=TRUE,AD54+1,"")</f>
        <v>30</v>
      </c>
    </row>
    <row r="59" spans="1:30" ht="13.8" thickBot="1" x14ac:dyDescent="0.3">
      <c r="A59" s="69"/>
      <c r="B59" s="17">
        <v>14</v>
      </c>
      <c r="C59" s="35"/>
      <c r="D59" s="38"/>
      <c r="E59" s="1"/>
      <c r="G59" s="66">
        <f>IF($AJ$5=TRUE,G43+1,"")</f>
        <v>52</v>
      </c>
      <c r="H59" s="7"/>
      <c r="I59" s="71"/>
      <c r="J59" s="62"/>
      <c r="U59" s="60"/>
      <c r="V59" s="67"/>
      <c r="W59" s="8"/>
      <c r="X59" s="66">
        <f>IF($AJ$5=TRUE,X43+1,"")</f>
        <v>56</v>
      </c>
      <c r="Z59" s="1"/>
      <c r="AA59" s="39"/>
      <c r="AB59" s="56"/>
      <c r="AC59" s="17">
        <v>14</v>
      </c>
      <c r="AD59" s="69"/>
    </row>
    <row r="60" spans="1:30" ht="10.5" customHeight="1" thickBot="1" x14ac:dyDescent="0.3">
      <c r="A60" s="2"/>
      <c r="B60" s="16"/>
      <c r="C60" s="28"/>
      <c r="E60" s="1"/>
      <c r="G60" s="66"/>
      <c r="H60" s="7"/>
      <c r="I60" s="72"/>
      <c r="J60" s="63"/>
      <c r="U60" s="61"/>
      <c r="V60" s="68"/>
      <c r="W60" s="8"/>
      <c r="X60" s="66"/>
      <c r="Z60" s="1"/>
      <c r="AB60" s="57"/>
      <c r="AC60" s="16"/>
      <c r="AD60" s="2"/>
    </row>
    <row r="61" spans="1:30" ht="15" thickBot="1" x14ac:dyDescent="0.3">
      <c r="A61" s="2"/>
      <c r="B61" s="17">
        <v>7</v>
      </c>
      <c r="C61" s="35"/>
      <c r="D61" s="37"/>
      <c r="E61" s="67"/>
      <c r="F61" s="64"/>
      <c r="G61" s="1"/>
      <c r="H61" s="7"/>
      <c r="W61" s="8"/>
      <c r="X61" s="1"/>
      <c r="Y61" s="64"/>
      <c r="Z61" s="67"/>
      <c r="AA61" s="40"/>
      <c r="AB61" s="56"/>
      <c r="AC61" s="17">
        <v>7</v>
      </c>
      <c r="AD61" s="2"/>
    </row>
    <row r="62" spans="1:30" ht="10.5" customHeight="1" thickBot="1" x14ac:dyDescent="0.3">
      <c r="A62" s="69">
        <f>IF($AJ$5=TRUE,A58+1,"")</f>
        <v>15</v>
      </c>
      <c r="B62" s="16"/>
      <c r="C62" s="28"/>
      <c r="D62" s="5"/>
      <c r="E62" s="68"/>
      <c r="F62" s="65"/>
      <c r="G62" s="1"/>
      <c r="H62" s="7"/>
      <c r="W62" s="8"/>
      <c r="X62" s="1"/>
      <c r="Y62" s="65"/>
      <c r="Z62" s="68"/>
      <c r="AA62" s="6"/>
      <c r="AB62" s="57"/>
      <c r="AC62" s="16"/>
      <c r="AD62" s="69">
        <f>IF($AJ$5=TRUE,AD58+1,"")</f>
        <v>31</v>
      </c>
    </row>
    <row r="63" spans="1:30" ht="13.8" thickBot="1" x14ac:dyDescent="0.3">
      <c r="A63" s="69"/>
      <c r="B63" s="17">
        <v>10</v>
      </c>
      <c r="C63" s="35"/>
      <c r="D63" s="38"/>
      <c r="E63" s="70">
        <f>IF($AJ$5=TRUE,E55+1,"")</f>
        <v>40</v>
      </c>
      <c r="F63" s="5"/>
      <c r="G63" s="71"/>
      <c r="H63" s="62"/>
      <c r="S63"/>
      <c r="W63" s="60"/>
      <c r="X63" s="67"/>
      <c r="Y63" s="6"/>
      <c r="Z63" s="70">
        <f>IF($AJ$5=TRUE,Z55+1,"")</f>
        <v>48</v>
      </c>
      <c r="AA63" s="39"/>
      <c r="AB63" s="56"/>
      <c r="AC63" s="17">
        <v>10</v>
      </c>
      <c r="AD63" s="69"/>
    </row>
    <row r="64" spans="1:30" ht="10.5" customHeight="1" thickBot="1" x14ac:dyDescent="0.3">
      <c r="A64" s="2"/>
      <c r="B64" s="16"/>
      <c r="C64" s="28"/>
      <c r="E64" s="66"/>
      <c r="F64" s="7"/>
      <c r="G64" s="72"/>
      <c r="H64" s="63"/>
      <c r="S64"/>
      <c r="W64" s="61"/>
      <c r="X64" s="68"/>
      <c r="Y64" s="8"/>
      <c r="Z64" s="66"/>
      <c r="AB64" s="57"/>
      <c r="AC64" s="16"/>
      <c r="AD64" s="2"/>
    </row>
    <row r="65" spans="1:30" ht="15" thickBot="1" x14ac:dyDescent="0.3">
      <c r="A65" s="2"/>
      <c r="B65" s="17">
        <v>2</v>
      </c>
      <c r="C65" s="35"/>
      <c r="D65" s="37"/>
      <c r="E65" s="67"/>
      <c r="F65" s="62"/>
      <c r="S65"/>
      <c r="X65" s="1"/>
      <c r="Y65" s="60"/>
      <c r="Z65" s="67"/>
      <c r="AA65" s="40"/>
      <c r="AB65" s="56"/>
      <c r="AC65" s="17">
        <v>2</v>
      </c>
      <c r="AD65" s="2"/>
    </row>
    <row r="66" spans="1:30" ht="10.5" customHeight="1" thickBot="1" x14ac:dyDescent="0.3">
      <c r="A66" s="69">
        <f>IF($AJ$5=TRUE,A62+1,"")</f>
        <v>16</v>
      </c>
      <c r="B66" s="16"/>
      <c r="C66" s="28"/>
      <c r="D66" s="5"/>
      <c r="E66" s="68"/>
      <c r="F66" s="63"/>
      <c r="K66" s="84"/>
      <c r="L66" s="84"/>
      <c r="M66" s="84"/>
      <c r="N66" s="84"/>
      <c r="O66" s="84"/>
      <c r="P66" s="84"/>
      <c r="Q66" s="84"/>
      <c r="R66" s="84"/>
      <c r="S66" s="84"/>
      <c r="T66" s="84"/>
      <c r="X66" s="1"/>
      <c r="Y66" s="61"/>
      <c r="Z66" s="68"/>
      <c r="AA66" s="6"/>
      <c r="AB66" s="57"/>
      <c r="AC66" s="16"/>
      <c r="AD66" s="69">
        <f>IF($AJ$5=TRUE,AD62+1,"")</f>
        <v>32</v>
      </c>
    </row>
    <row r="67" spans="1:30" ht="13.8" thickBot="1" x14ac:dyDescent="0.3">
      <c r="A67" s="69"/>
      <c r="B67" s="17">
        <v>15</v>
      </c>
      <c r="C67" s="35"/>
      <c r="D67" s="38"/>
      <c r="K67" s="83"/>
      <c r="L67" s="83"/>
      <c r="M67" s="83"/>
      <c r="N67" s="83"/>
      <c r="O67" s="83"/>
      <c r="P67" s="83"/>
      <c r="Q67" s="83"/>
      <c r="R67" s="83"/>
      <c r="S67" s="83"/>
      <c r="T67" s="83"/>
      <c r="Z67" s="1"/>
      <c r="AA67" s="39"/>
      <c r="AB67" s="56"/>
      <c r="AC67" s="17">
        <v>15</v>
      </c>
      <c r="AD67" s="69"/>
    </row>
    <row r="68" spans="1:30" x14ac:dyDescent="0.25">
      <c r="A68" s="2"/>
      <c r="S68"/>
      <c r="AD68" s="2"/>
    </row>
    <row r="69" spans="1:30" x14ac:dyDescent="0.25">
      <c r="A69" s="2"/>
      <c r="AD69" s="2"/>
    </row>
  </sheetData>
  <mergeCells count="195">
    <mergeCell ref="K67:T67"/>
    <mergeCell ref="K66:T66"/>
    <mergeCell ref="B1:AC1"/>
    <mergeCell ref="G7:G8"/>
    <mergeCell ref="H15:H16"/>
    <mergeCell ref="G15:G16"/>
    <mergeCell ref="H7:H8"/>
    <mergeCell ref="I11:I12"/>
    <mergeCell ref="X15:X16"/>
    <mergeCell ref="Z7:Z8"/>
    <mergeCell ref="F5:F6"/>
    <mergeCell ref="E5:E6"/>
    <mergeCell ref="F9:F10"/>
    <mergeCell ref="E9:E10"/>
    <mergeCell ref="E7:E8"/>
    <mergeCell ref="E15:E16"/>
    <mergeCell ref="E33:E34"/>
    <mergeCell ref="J11:J12"/>
    <mergeCell ref="E21:E22"/>
    <mergeCell ref="F21:F22"/>
    <mergeCell ref="F13:F14"/>
    <mergeCell ref="E13:E14"/>
    <mergeCell ref="F17:F18"/>
    <mergeCell ref="E17:E18"/>
    <mergeCell ref="H19:I20"/>
    <mergeCell ref="G11:G12"/>
    <mergeCell ref="H55:H56"/>
    <mergeCell ref="X7:X8"/>
    <mergeCell ref="W7:W8"/>
    <mergeCell ref="W15:W16"/>
    <mergeCell ref="P27:P28"/>
    <mergeCell ref="X11:X12"/>
    <mergeCell ref="V11:V12"/>
    <mergeCell ref="V19:W20"/>
    <mergeCell ref="I43:I44"/>
    <mergeCell ref="H23:H24"/>
    <mergeCell ref="H39:H40"/>
    <mergeCell ref="H31:H32"/>
    <mergeCell ref="H51:I52"/>
    <mergeCell ref="G23:G24"/>
    <mergeCell ref="G39:G40"/>
    <mergeCell ref="G31:G32"/>
    <mergeCell ref="G27:G28"/>
    <mergeCell ref="L19:L20"/>
    <mergeCell ref="X23:X24"/>
    <mergeCell ref="M27:O28"/>
    <mergeCell ref="P39:R40"/>
    <mergeCell ref="W23:W24"/>
    <mergeCell ref="X27:X28"/>
    <mergeCell ref="X43:X44"/>
    <mergeCell ref="X31:X32"/>
    <mergeCell ref="Z33:Z34"/>
    <mergeCell ref="X39:X40"/>
    <mergeCell ref="Y25:Y26"/>
    <mergeCell ref="Y33:Y34"/>
    <mergeCell ref="F33:F34"/>
    <mergeCell ref="F41:F42"/>
    <mergeCell ref="Z23:Z24"/>
    <mergeCell ref="E65:E66"/>
    <mergeCell ref="F65:F66"/>
    <mergeCell ref="I59:I60"/>
    <mergeCell ref="G63:G64"/>
    <mergeCell ref="H63:H64"/>
    <mergeCell ref="G59:G60"/>
    <mergeCell ref="E63:E64"/>
    <mergeCell ref="E61:E62"/>
    <mergeCell ref="F61:F62"/>
    <mergeCell ref="E37:E38"/>
    <mergeCell ref="F37:F38"/>
    <mergeCell ref="H47:H48"/>
    <mergeCell ref="E57:E58"/>
    <mergeCell ref="F57:F58"/>
    <mergeCell ref="F45:F46"/>
    <mergeCell ref="G43:G44"/>
    <mergeCell ref="G47:G48"/>
    <mergeCell ref="E53:E54"/>
    <mergeCell ref="F53:F54"/>
    <mergeCell ref="G55:G56"/>
    <mergeCell ref="E49:E50"/>
    <mergeCell ref="F49:F50"/>
    <mergeCell ref="E45:E46"/>
    <mergeCell ref="N2:Q2"/>
    <mergeCell ref="U11:U12"/>
    <mergeCell ref="O39:O40"/>
    <mergeCell ref="U27:U28"/>
    <mergeCell ref="T19:T20"/>
    <mergeCell ref="N32:Q33"/>
    <mergeCell ref="S19:S20"/>
    <mergeCell ref="N31:Q31"/>
    <mergeCell ref="Z5:Z6"/>
    <mergeCell ref="Y5:Y6"/>
    <mergeCell ref="Z9:Z10"/>
    <mergeCell ref="Y9:Y10"/>
    <mergeCell ref="Z13:Z14"/>
    <mergeCell ref="Z15:Z16"/>
    <mergeCell ref="Z21:Z22"/>
    <mergeCell ref="Y21:Y22"/>
    <mergeCell ref="Y13:Y14"/>
    <mergeCell ref="Y17:Y18"/>
    <mergeCell ref="Z17:Z18"/>
    <mergeCell ref="A66:A67"/>
    <mergeCell ref="AD6:AD7"/>
    <mergeCell ref="AD10:AD11"/>
    <mergeCell ref="AD14:AD15"/>
    <mergeCell ref="AD18:AD19"/>
    <mergeCell ref="AD22:AD23"/>
    <mergeCell ref="A22:A23"/>
    <mergeCell ref="A26:A27"/>
    <mergeCell ref="A30:A31"/>
    <mergeCell ref="K19:K20"/>
    <mergeCell ref="J27:J28"/>
    <mergeCell ref="E29:E30"/>
    <mergeCell ref="F29:F30"/>
    <mergeCell ref="E25:E26"/>
    <mergeCell ref="F25:F26"/>
    <mergeCell ref="I27:I28"/>
    <mergeCell ref="W63:W64"/>
    <mergeCell ref="X63:X64"/>
    <mergeCell ref="Z55:Z56"/>
    <mergeCell ref="Z63:Z64"/>
    <mergeCell ref="Z57:Z58"/>
    <mergeCell ref="Y65:Y66"/>
    <mergeCell ref="Z65:Z66"/>
    <mergeCell ref="Y61:Y62"/>
    <mergeCell ref="A34:A35"/>
    <mergeCell ref="A38:A39"/>
    <mergeCell ref="A42:A43"/>
    <mergeCell ref="A46:A47"/>
    <mergeCell ref="A58:A59"/>
    <mergeCell ref="A62:A63"/>
    <mergeCell ref="A50:A51"/>
    <mergeCell ref="A54:A55"/>
    <mergeCell ref="A6:A7"/>
    <mergeCell ref="A10:A11"/>
    <mergeCell ref="A14:A15"/>
    <mergeCell ref="A18:A19"/>
    <mergeCell ref="AD62:AD63"/>
    <mergeCell ref="AD66:AD67"/>
    <mergeCell ref="E23:E24"/>
    <mergeCell ref="E31:E32"/>
    <mergeCell ref="E39:E40"/>
    <mergeCell ref="E47:E48"/>
    <mergeCell ref="E55:E56"/>
    <mergeCell ref="AD26:AD27"/>
    <mergeCell ref="AD30:AD31"/>
    <mergeCell ref="AD34:AD35"/>
    <mergeCell ref="Z61:Z62"/>
    <mergeCell ref="W39:W40"/>
    <mergeCell ref="Y49:Y50"/>
    <mergeCell ref="Z49:Z50"/>
    <mergeCell ref="Y53:Y54"/>
    <mergeCell ref="Z53:Z54"/>
    <mergeCell ref="Z47:Z48"/>
    <mergeCell ref="V51:W52"/>
    <mergeCell ref="X47:X48"/>
    <mergeCell ref="Z45:Z46"/>
    <mergeCell ref="E41:E42"/>
    <mergeCell ref="Y29:Y30"/>
    <mergeCell ref="Z29:Z30"/>
    <mergeCell ref="Z37:Z38"/>
    <mergeCell ref="J59:J60"/>
    <mergeCell ref="V27:V28"/>
    <mergeCell ref="V59:V60"/>
    <mergeCell ref="W31:W32"/>
    <mergeCell ref="J43:J44"/>
    <mergeCell ref="O35:P35"/>
    <mergeCell ref="W55:W56"/>
    <mergeCell ref="U43:U44"/>
    <mergeCell ref="T51:T52"/>
    <mergeCell ref="V43:V44"/>
    <mergeCell ref="K51:K52"/>
    <mergeCell ref="AF3:AF11"/>
    <mergeCell ref="AF14:AF19"/>
    <mergeCell ref="AF22:AF27"/>
    <mergeCell ref="AF34:AF37"/>
    <mergeCell ref="S51:S52"/>
    <mergeCell ref="U59:U60"/>
    <mergeCell ref="L51:L52"/>
    <mergeCell ref="Y45:Y46"/>
    <mergeCell ref="W47:W48"/>
    <mergeCell ref="X59:X60"/>
    <mergeCell ref="X55:X56"/>
    <mergeCell ref="Y57:Y58"/>
    <mergeCell ref="AD50:AD51"/>
    <mergeCell ref="AD54:AD55"/>
    <mergeCell ref="AD58:AD59"/>
    <mergeCell ref="AD38:AD39"/>
    <mergeCell ref="AD42:AD43"/>
    <mergeCell ref="AD46:AD47"/>
    <mergeCell ref="Z31:Z32"/>
    <mergeCell ref="Z41:Z42"/>
    <mergeCell ref="Z39:Z40"/>
    <mergeCell ref="Y41:Y42"/>
    <mergeCell ref="Y37:Y38"/>
    <mergeCell ref="Z25:Z26"/>
  </mergeCells>
  <phoneticPr fontId="0" type="noConversion"/>
  <conditionalFormatting sqref="C5 C9 C13 C17 C21 C25 C29 C33 C37 C41 C45 C49 C53 C57 C61 C65">
    <cfRule type="expression" dxfId="21" priority="111" stopIfTrue="1">
      <formula>D7&gt;D5</formula>
    </cfRule>
  </conditionalFormatting>
  <conditionalFormatting sqref="C7 C11 C15 C19 C23 C27 C31 C35 C39 C43 C47 C51 C55 C59 C63 C67">
    <cfRule type="expression" dxfId="20" priority="110" stopIfTrue="1">
      <formula>D5&gt;D7</formula>
    </cfRule>
  </conditionalFormatting>
  <conditionalFormatting sqref="E5:E6 E13:E14 E21:E22 E29:E30 E37:E38 E45:E46 E53:E54 E61:E62">
    <cfRule type="expression" dxfId="19" priority="109" stopIfTrue="1">
      <formula>F9&gt;F5</formula>
    </cfRule>
  </conditionalFormatting>
  <conditionalFormatting sqref="E9:E10 E17:E18 E25:E26 E33:E34 E41:E42 E49:E50 E57:E58 E65:E66">
    <cfRule type="expression" dxfId="18" priority="108" stopIfTrue="1">
      <formula>F5&gt;F9</formula>
    </cfRule>
  </conditionalFormatting>
  <conditionalFormatting sqref="G7:G8 G23:G24 G39:G40 G55:G56">
    <cfRule type="expression" dxfId="17" priority="107" stopIfTrue="1">
      <formula>H15&gt;H7</formula>
    </cfRule>
  </conditionalFormatting>
  <conditionalFormatting sqref="G15:G16 G31:G32 G47:G48 G63:G64">
    <cfRule type="expression" dxfId="16" priority="106" stopIfTrue="1">
      <formula>H7&gt;H15</formula>
    </cfRule>
  </conditionalFormatting>
  <conditionalFormatting sqref="I11:I12 I43:I44">
    <cfRule type="expression" dxfId="15" priority="131" stopIfTrue="1">
      <formula>J27&gt;J11</formula>
    </cfRule>
  </conditionalFormatting>
  <conditionalFormatting sqref="I27:I28 I59:I60">
    <cfRule type="expression" dxfId="14" priority="132" stopIfTrue="1">
      <formula>J11&gt;J27</formula>
    </cfRule>
  </conditionalFormatting>
  <conditionalFormatting sqref="K19:K20">
    <cfRule type="expression" dxfId="13" priority="99" stopIfTrue="1">
      <formula>L51&gt;L19</formula>
    </cfRule>
  </conditionalFormatting>
  <conditionalFormatting sqref="K51:K52">
    <cfRule type="expression" dxfId="12" priority="133" stopIfTrue="1">
      <formula>L51&gt;L83</formula>
    </cfRule>
  </conditionalFormatting>
  <conditionalFormatting sqref="M27:O28">
    <cfRule type="expression" dxfId="11" priority="5" stopIfTrue="1">
      <formula>O39&gt;P27</formula>
    </cfRule>
  </conditionalFormatting>
  <conditionalFormatting sqref="P39:R40">
    <cfRule type="expression" dxfId="10" priority="6" stopIfTrue="1">
      <formula>P27&gt;O39</formula>
    </cfRule>
  </conditionalFormatting>
  <conditionalFormatting sqref="T19:T20">
    <cfRule type="expression" dxfId="9" priority="8" stopIfTrue="1">
      <formula>S51&gt;S19</formula>
    </cfRule>
  </conditionalFormatting>
  <conditionalFormatting sqref="T51:T52">
    <cfRule type="expression" dxfId="8" priority="7" stopIfTrue="1">
      <formula>S19&gt;S51</formula>
    </cfRule>
  </conditionalFormatting>
  <conditionalFormatting sqref="V11:V12 V43:V44">
    <cfRule type="expression" dxfId="7" priority="12" stopIfTrue="1">
      <formula>U27&gt;U11</formula>
    </cfRule>
  </conditionalFormatting>
  <conditionalFormatting sqref="V27:V28 V59:V60">
    <cfRule type="expression" dxfId="6" priority="4" stopIfTrue="1">
      <formula>U11&gt;U27</formula>
    </cfRule>
  </conditionalFormatting>
  <conditionalFormatting sqref="X7:X8 X23:X24 X39:X40 X55:X56">
    <cfRule type="expression" dxfId="5" priority="20" stopIfTrue="1">
      <formula>W15&gt;W7</formula>
    </cfRule>
  </conditionalFormatting>
  <conditionalFormatting sqref="X15:X16 X31:X32 X47:X48 X63:X64">
    <cfRule type="expression" dxfId="4" priority="19" stopIfTrue="1">
      <formula>W7&gt;W15</formula>
    </cfRule>
  </conditionalFormatting>
  <conditionalFormatting sqref="Z5:Z6 Z13:Z14 Z21:Z22 Z29:Z30 Z37:Z38 Z45:Z46 Z53:Z54 Z61:Z62">
    <cfRule type="expression" dxfId="3" priority="36" stopIfTrue="1">
      <formula>Y9&gt;Y5</formula>
    </cfRule>
  </conditionalFormatting>
  <conditionalFormatting sqref="Z9:Z10 Z17:Z18 Z25:Z26 Z33:Z34 Z41:Z42 Z49:Z50 Z57:Z58 Z65:Z66">
    <cfRule type="expression" dxfId="2" priority="35" stopIfTrue="1">
      <formula>Y5&gt;Y9</formula>
    </cfRule>
  </conditionalFormatting>
  <conditionalFormatting sqref="AB5 AB9 AB13 AB17 AB21 AB25 AB29 AB33 AB37 AB41 AB45 AB49 AB53 AB57 AB61 AB65">
    <cfRule type="expression" dxfId="1" priority="98" stopIfTrue="1">
      <formula>AA7&gt;AA5</formula>
    </cfRule>
  </conditionalFormatting>
  <conditionalFormatting sqref="AB7 AB11 AB15 AB19 AB23 AB27 AB31 AB35 AB39 AB43 AB47 AB51 AB55 AB59 AB63 AB67">
    <cfRule type="expression" dxfId="0" priority="97" stopIfTrue="1">
      <formula>AA5&gt;AA7</formula>
    </cfRule>
  </conditionalFormatting>
  <dataValidations count="1">
    <dataValidation type="list" allowBlank="1" showInputMessage="1" showErrorMessage="1" sqref="AE29" xr:uid="{00000000-0002-0000-0000-000000000000}">
      <formula1>$AJ$3:$AJ$3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E63 E7:E8 Z7:Z8 E15:E16 E19:E20 E23:E24 E27:E28 E31:E32 E35:E36 E39:E40 E43:E44 E55:E56 Z11:Z12 Z15:Z16 Z19:Z20 Z23:Z24 Z27:Z28 Z31:Z32 Z35:Z36 Z39:Z40 Z43:Z44 Z47:Z48 Z51:Z52 Z55:Z56 Z59:Z60 Z63:Z64 E11:E12 E47:E48 E51:E52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Games</vt:lpstr>
      <vt:lpstr>Bracket</vt:lpstr>
      <vt:lpstr>Bracket!Print_Area</vt:lpstr>
      <vt:lpstr>Games!Print_Area</vt:lpstr>
      <vt:lpstr>SeedInfo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2025-11-12T00:39:20Z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